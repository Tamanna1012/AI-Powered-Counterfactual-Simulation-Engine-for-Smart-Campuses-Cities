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Verification log" sheetId="3" state="visible" r:id="rId3"/>
    <sheet xmlns:r="http://schemas.openxmlformats.org/officeDocument/2006/relationships" name="Mock log" sheetId="4" state="visible" r:id="rId4"/>
    <sheet xmlns:r="http://schemas.openxmlformats.org/officeDocument/2006/relationships" name="Weekly review" sheetId="5" state="visible" r:id="rId5"/>
    <sheet xmlns:r="http://schemas.openxmlformats.org/officeDocument/2006/relationships" name="Problem list" sheetId="6" state="visible" r:id="rId6"/>
  </sheets>
  <definedNames>
    <definedName name="_xlnm._FilterDatabase" localSheetId="1" hidden="1">'Tracker'!$A$1:$W$300</definedName>
    <definedName name="_xlnm._FilterDatabase" localSheetId="5" hidden="1">'Problem list'!$A$1:$J$180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164" fontId="0" fillId="0" borderId="1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DDEBF7"/>
        </patternFill>
      </fill>
    </dxf>
    <dxf>
      <fill>
        <patternFill patternType="solid">
          <bgColor rgb="00FFC7CE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ackerrank.com/challenges/solve-me-first/problem" TargetMode="External" Id="rId1"/><Relationship Type="http://schemas.openxmlformats.org/officeDocument/2006/relationships/hyperlink" Target="https://www.hackerrank.com/challenges/simple-array-sum/problem" TargetMode="External" Id="rId2"/><Relationship Type="http://schemas.openxmlformats.org/officeDocument/2006/relationships/hyperlink" Target="https://www.hackerrank.com/challenges/compare-the-triplets/problem" TargetMode="External" Id="rId3"/><Relationship Type="http://schemas.openxmlformats.org/officeDocument/2006/relationships/hyperlink" Target="https://www.hackerrank.com/challenges/a-very-big-sum/problem" TargetMode="External" Id="rId4"/><Relationship Type="http://schemas.openxmlformats.org/officeDocument/2006/relationships/hyperlink" Target="https://www.hackerrank.com/challenges/diagonal-difference/problem" TargetMode="External" Id="rId5"/><Relationship Type="http://schemas.openxmlformats.org/officeDocument/2006/relationships/hyperlink" Target="https://www.hackerrank.com/challenges/plus-minus/problem" TargetMode="External" Id="rId6"/><Relationship Type="http://schemas.openxmlformats.org/officeDocument/2006/relationships/hyperlink" Target="https://www.hackerrank.com/challenges/staircase/problem" TargetMode="External" Id="rId7"/><Relationship Type="http://schemas.openxmlformats.org/officeDocument/2006/relationships/hyperlink" Target="https://www.hackerrank.com/challenges/mini-max-sum/problem" TargetMode="External" Id="rId8"/><Relationship Type="http://schemas.openxmlformats.org/officeDocument/2006/relationships/hyperlink" Target="https://www.hackerrank.com/challenges/birthday-cake-candles/problem" TargetMode="External" Id="rId9"/><Relationship Type="http://schemas.openxmlformats.org/officeDocument/2006/relationships/hyperlink" Target="https://www.hackerrank.com/challenges/time-conversion/problem" TargetMode="External" Id="rId10"/><Relationship Type="http://schemas.openxmlformats.org/officeDocument/2006/relationships/hyperlink" Target="https://leetcode.com/problems/fizz-buzz/" TargetMode="External" Id="rId11"/><Relationship Type="http://schemas.openxmlformats.org/officeDocument/2006/relationships/hyperlink" Target="https://leetcode.com/problems/running-sum-of-1d-array/" TargetMode="External" Id="rId12"/><Relationship Type="http://schemas.openxmlformats.org/officeDocument/2006/relationships/hyperlink" Target="https://leetcode.com/problems/contains-duplicate/" TargetMode="External" Id="rId13"/><Relationship Type="http://schemas.openxmlformats.org/officeDocument/2006/relationships/hyperlink" Target="https://leetcode.com/problems/best-time-to-buy-and-sell-stock/" TargetMode="External" Id="rId14"/><Relationship Type="http://schemas.openxmlformats.org/officeDocument/2006/relationships/hyperlink" Target="https://leetcode.com/problems/maximum-subarray/" TargetMode="External" Id="rId15"/><Relationship Type="http://schemas.openxmlformats.org/officeDocument/2006/relationships/hyperlink" Target="https://leetcode.com/problems/move-zeroes/" TargetMode="External" Id="rId16"/><Relationship Type="http://schemas.openxmlformats.org/officeDocument/2006/relationships/hyperlink" Target="https://leetcode.com/problems/remove-duplicates-from-sorted-array/" TargetMode="External" Id="rId17"/><Relationship Type="http://schemas.openxmlformats.org/officeDocument/2006/relationships/hyperlink" Target="https://leetcode.com/problems/merge-sorted-array/" TargetMode="External" Id="rId18"/><Relationship Type="http://schemas.openxmlformats.org/officeDocument/2006/relationships/hyperlink" Target="https://leetcode.com/problems/plus-one/" TargetMode="External" Id="rId19"/><Relationship Type="http://schemas.openxmlformats.org/officeDocument/2006/relationships/hyperlink" Target="https://leetcode.com/problems/rotate-array/" TargetMode="External" Id="rId20"/><Relationship Type="http://schemas.openxmlformats.org/officeDocument/2006/relationships/hyperlink" Target="https://leetcode.com/problems/majority-element/" TargetMode="External" Id="rId21"/><Relationship Type="http://schemas.openxmlformats.org/officeDocument/2006/relationships/hyperlink" Target="https://leetcode.com/problems/reverse-string/" TargetMode="External" Id="rId22"/><Relationship Type="http://schemas.openxmlformats.org/officeDocument/2006/relationships/hyperlink" Target="https://leetcode.com/problems/valid-palindrome/" TargetMode="External" Id="rId23"/><Relationship Type="http://schemas.openxmlformats.org/officeDocument/2006/relationships/hyperlink" Target="https://leetcode.com/problems/longest-common-prefix/" TargetMode="External" Id="rId24"/><Relationship Type="http://schemas.openxmlformats.org/officeDocument/2006/relationships/hyperlink" Target="https://leetcode.com/problems/roman-to-integer/" TargetMode="External" Id="rId25"/><Relationship Type="http://schemas.openxmlformats.org/officeDocument/2006/relationships/hyperlink" Target="https://leetcode.com/problems/product-of-array-except-self/" TargetMode="External" Id="rId26"/><Relationship Type="http://schemas.openxmlformats.org/officeDocument/2006/relationships/hyperlink" Target="https://leetcode.com/problems/two-sum/" TargetMode="External" Id="rId27"/><Relationship Type="http://schemas.openxmlformats.org/officeDocument/2006/relationships/hyperlink" Target="https://leetcode.com/problems/valid-anagram/" TargetMode="External" Id="rId28"/><Relationship Type="http://schemas.openxmlformats.org/officeDocument/2006/relationships/hyperlink" Target="https://leetcode.com/problems/ransom-note/" TargetMode="External" Id="rId29"/><Relationship Type="http://schemas.openxmlformats.org/officeDocument/2006/relationships/hyperlink" Target="https://leetcode.com/problems/first-unique-character-in-a-string/" TargetMode="External" Id="rId30"/><Relationship Type="http://schemas.openxmlformats.org/officeDocument/2006/relationships/hyperlink" Target="https://leetcode.com/problems/isomorphic-strings/" TargetMode="External" Id="rId31"/><Relationship Type="http://schemas.openxmlformats.org/officeDocument/2006/relationships/hyperlink" Target="https://leetcode.com/problems/single-number/" TargetMode="External" Id="rId32"/><Relationship Type="http://schemas.openxmlformats.org/officeDocument/2006/relationships/hyperlink" Target="https://leetcode.com/problems/missing-number/" TargetMode="External" Id="rId33"/><Relationship Type="http://schemas.openxmlformats.org/officeDocument/2006/relationships/hyperlink" Target="https://leetcode.com/problems/group-anagrams/" TargetMode="External" Id="rId34"/><Relationship Type="http://schemas.openxmlformats.org/officeDocument/2006/relationships/hyperlink" Target="https://leetcode.com/problems/top-k-frequent-elements/" TargetMode="External" Id="rId35"/><Relationship Type="http://schemas.openxmlformats.org/officeDocument/2006/relationships/hyperlink" Target="https://leetcode.com/problems/longest-consecutive-sequence/" TargetMode="External" Id="rId36"/><Relationship Type="http://schemas.openxmlformats.org/officeDocument/2006/relationships/hyperlink" Target="https://leetcode.com/problems/subarray-sum-equals-k/" TargetMode="External" Id="rId37"/><Relationship Type="http://schemas.openxmlformats.org/officeDocument/2006/relationships/hyperlink" Target="https://leetcode.com/problems/contains-duplicate-ii/" TargetMode="External" Id="rId38"/><Relationship Type="http://schemas.openxmlformats.org/officeDocument/2006/relationships/hyperlink" Target="https://leetcode.com/problems/happy-number/" TargetMode="External" Id="rId39"/><Relationship Type="http://schemas.openxmlformats.org/officeDocument/2006/relationships/hyperlink" Target="https://www.hackerrank.com/challenges/lonely-integer/problem" TargetMode="External" Id="rId40"/><Relationship Type="http://schemas.openxmlformats.org/officeDocument/2006/relationships/hyperlink" Target="https://www.hackerrank.com/challenges/two-strings/problem" TargetMode="External" Id="rId41"/><Relationship Type="http://schemas.openxmlformats.org/officeDocument/2006/relationships/hyperlink" Target="https://www.hackerrank.com/challenges/sparse-arrays/problem" TargetMode="External" Id="rId42"/><Relationship Type="http://schemas.openxmlformats.org/officeDocument/2006/relationships/hyperlink" Target="https://www.hackerrank.com/challenges/sherlock-and-anagrams/problem" TargetMode="External" Id="rId43"/><Relationship Type="http://schemas.openxmlformats.org/officeDocument/2006/relationships/hyperlink" Target="https://leetcode.com/problems/two-sum-ii-input-array-is-sorted/" TargetMode="External" Id="rId44"/><Relationship Type="http://schemas.openxmlformats.org/officeDocument/2006/relationships/hyperlink" Target="https://leetcode.com/problems/valid-palindrome-ii/" TargetMode="External" Id="rId45"/><Relationship Type="http://schemas.openxmlformats.org/officeDocument/2006/relationships/hyperlink" Target="https://leetcode.com/problems/3sum/" TargetMode="External" Id="rId46"/><Relationship Type="http://schemas.openxmlformats.org/officeDocument/2006/relationships/hyperlink" Target="https://leetcode.com/problems/container-with-most-water/" TargetMode="External" Id="rId47"/><Relationship Type="http://schemas.openxmlformats.org/officeDocument/2006/relationships/hyperlink" Target="https://leetcode.com/problems/trapping-rain-water/" TargetMode="External" Id="rId48"/><Relationship Type="http://schemas.openxmlformats.org/officeDocument/2006/relationships/hyperlink" Target="https://leetcode.com/problems/maximum-average-subarray-i/" TargetMode="External" Id="rId49"/><Relationship Type="http://schemas.openxmlformats.org/officeDocument/2006/relationships/hyperlink" Target="https://leetcode.com/problems/longest-substring-without-repeating-characters/" TargetMode="External" Id="rId50"/><Relationship Type="http://schemas.openxmlformats.org/officeDocument/2006/relationships/hyperlink" Target="https://leetcode.com/problems/minimum-size-subarray-sum/" TargetMode="External" Id="rId51"/><Relationship Type="http://schemas.openxmlformats.org/officeDocument/2006/relationships/hyperlink" Target="https://leetcode.com/problems/longest-repeating-character-replacement/" TargetMode="External" Id="rId52"/><Relationship Type="http://schemas.openxmlformats.org/officeDocument/2006/relationships/hyperlink" Target="https://leetcode.com/problems/permutation-in-string/" TargetMode="External" Id="rId53"/><Relationship Type="http://schemas.openxmlformats.org/officeDocument/2006/relationships/hyperlink" Target="https://leetcode.com/problems/minimum-window-substring/" TargetMode="External" Id="rId54"/><Relationship Type="http://schemas.openxmlformats.org/officeDocument/2006/relationships/hyperlink" Target="https://leetcode.com/problems/sliding-window-maximum/" TargetMode="External" Id="rId55"/><Relationship Type="http://schemas.openxmlformats.org/officeDocument/2006/relationships/hyperlink" Target="https://leetcode.com/problems/binary-search/" TargetMode="External" Id="rId56"/><Relationship Type="http://schemas.openxmlformats.org/officeDocument/2006/relationships/hyperlink" Target="https://leetcode.com/problems/search-insert-position/" TargetMode="External" Id="rId57"/><Relationship Type="http://schemas.openxmlformats.org/officeDocument/2006/relationships/hyperlink" Target="https://leetcode.com/problems/first-bad-version/" TargetMode="External" Id="rId58"/><Relationship Type="http://schemas.openxmlformats.org/officeDocument/2006/relationships/hyperlink" Target="https://leetcode.com/problems/sqrtx/" TargetMode="External" Id="rId59"/><Relationship Type="http://schemas.openxmlformats.org/officeDocument/2006/relationships/hyperlink" Target="https://leetcode.com/problems/find-first-and-last-position-of-element-in-sorted-array/" TargetMode="External" Id="rId60"/><Relationship Type="http://schemas.openxmlformats.org/officeDocument/2006/relationships/hyperlink" Target="https://leetcode.com/problems/search-in-rotated-sorted-array/" TargetMode="External" Id="rId61"/><Relationship Type="http://schemas.openxmlformats.org/officeDocument/2006/relationships/hyperlink" Target="https://leetcode.com/problems/find-minimum-in-rotated-sorted-array/" TargetMode="External" Id="rId62"/><Relationship Type="http://schemas.openxmlformats.org/officeDocument/2006/relationships/hyperlink" Target="https://leetcode.com/problems/search-a-2d-matrix/" TargetMode="External" Id="rId63"/><Relationship Type="http://schemas.openxmlformats.org/officeDocument/2006/relationships/hyperlink" Target="https://leetcode.com/problems/koko-eating-bananas/" TargetMode="External" Id="rId64"/><Relationship Type="http://schemas.openxmlformats.org/officeDocument/2006/relationships/hyperlink" Target="https://leetcode.com/problems/sort-colors/" TargetMode="External" Id="rId65"/><Relationship Type="http://schemas.openxmlformats.org/officeDocument/2006/relationships/hyperlink" Target="https://leetcode.com/problems/merge-intervals/" TargetMode="External" Id="rId66"/><Relationship Type="http://schemas.openxmlformats.org/officeDocument/2006/relationships/hyperlink" Target="https://leetcode.com/problems/kth-largest-element-in-an-array/" TargetMode="External" Id="rId67"/><Relationship Type="http://schemas.openxmlformats.org/officeDocument/2006/relationships/hyperlink" Target="https://leetcode.com/problems/palindrome-number/" TargetMode="External" Id="rId68"/><Relationship Type="http://schemas.openxmlformats.org/officeDocument/2006/relationships/hyperlink" Target="https://leetcode.com/problems/reverse-integer/" TargetMode="External" Id="rId69"/><Relationship Type="http://schemas.openxmlformats.org/officeDocument/2006/relationships/hyperlink" Target="https://leetcode.com/problems/count-primes/" TargetMode="External" Id="rId70"/><Relationship Type="http://schemas.openxmlformats.org/officeDocument/2006/relationships/hyperlink" Target="https://leetcode.com/problems/power-of-two/" TargetMode="External" Id="rId71"/><Relationship Type="http://schemas.openxmlformats.org/officeDocument/2006/relationships/hyperlink" Target="https://leetcode.com/problems/powx-n/" TargetMode="External" Id="rId72"/><Relationship Type="http://schemas.openxmlformats.org/officeDocument/2006/relationships/hyperlink" Target="https://leetcode.com/problems/rotate-image/" TargetMode="External" Id="rId73"/><Relationship Type="http://schemas.openxmlformats.org/officeDocument/2006/relationships/hyperlink" Target="https://leetcode.com/problems/spiral-matrix/" TargetMode="External" Id="rId74"/><Relationship Type="http://schemas.openxmlformats.org/officeDocument/2006/relationships/hyperlink" Target="https://leetcode.com/problems/set-matrix-zeroes/" TargetMode="External" Id="rId75"/><Relationship Type="http://schemas.openxmlformats.org/officeDocument/2006/relationships/hyperlink" Target="https://leetcode.com/problems/valid-sudoku/" TargetMode="External" Id="rId76"/><Relationship Type="http://schemas.openxmlformats.org/officeDocument/2006/relationships/hyperlink" Target="https://leetcode.com/problems/insert-interval/" TargetMode="External" Id="rId77"/><Relationship Type="http://schemas.openxmlformats.org/officeDocument/2006/relationships/hyperlink" Target="https://leetcode.com/problems/number-of-1-bits/" TargetMode="External" Id="rId78"/><Relationship Type="http://schemas.openxmlformats.org/officeDocument/2006/relationships/hyperlink" Target="https://leetcode.com/problems/counting-bits/" TargetMode="External" Id="rId79"/><Relationship Type="http://schemas.openxmlformats.org/officeDocument/2006/relationships/hyperlink" Target="https://leetcode.com/problems/reverse-bits/" TargetMode="External" Id="rId80"/><Relationship Type="http://schemas.openxmlformats.org/officeDocument/2006/relationships/hyperlink" Target="https://leetcode.com/problems/sum-of-two-integers/" TargetMode="External" Id="rId81"/><Relationship Type="http://schemas.openxmlformats.org/officeDocument/2006/relationships/hyperlink" Target="https://leetcode.com/problems/fibonacci-number/" TargetMode="External" Id="rId82"/><Relationship Type="http://schemas.openxmlformats.org/officeDocument/2006/relationships/hyperlink" Target="https://leetcode.com/problems/subsets/" TargetMode="External" Id="rId83"/><Relationship Type="http://schemas.openxmlformats.org/officeDocument/2006/relationships/hyperlink" Target="https://leetcode.com/problems/permutations/" TargetMode="External" Id="rId84"/><Relationship Type="http://schemas.openxmlformats.org/officeDocument/2006/relationships/hyperlink" Target="https://leetcode.com/problems/combination-sum/" TargetMode="External" Id="rId85"/><Relationship Type="http://schemas.openxmlformats.org/officeDocument/2006/relationships/hyperlink" Target="https://leetcode.com/problems/letter-combinations-of-a-phone-number/" TargetMode="External" Id="rId86"/><Relationship Type="http://schemas.openxmlformats.org/officeDocument/2006/relationships/hyperlink" Target="https://leetcode.com/problems/generate-parentheses/" TargetMode="External" Id="rId87"/><Relationship Type="http://schemas.openxmlformats.org/officeDocument/2006/relationships/hyperlink" Target="https://leetcode.com/problems/word-search/" TargetMode="External" Id="rId88"/><Relationship Type="http://schemas.openxmlformats.org/officeDocument/2006/relationships/hyperlink" Target="https://leetcode.com/problems/palindrome-partitioning/" TargetMode="External" Id="rId89"/><Relationship Type="http://schemas.openxmlformats.org/officeDocument/2006/relationships/hyperlink" Target="https://leetcode.com/problems/reverse-linked-list/" TargetMode="External" Id="rId90"/><Relationship Type="http://schemas.openxmlformats.org/officeDocument/2006/relationships/hyperlink" Target="https://leetcode.com/problems/merge-two-sorted-lists/" TargetMode="External" Id="rId91"/><Relationship Type="http://schemas.openxmlformats.org/officeDocument/2006/relationships/hyperlink" Target="https://leetcode.com/problems/linked-list-cycle/" TargetMode="External" Id="rId92"/><Relationship Type="http://schemas.openxmlformats.org/officeDocument/2006/relationships/hyperlink" Target="https://leetcode.com/problems/middle-of-the-linked-list/" TargetMode="External" Id="rId93"/><Relationship Type="http://schemas.openxmlformats.org/officeDocument/2006/relationships/hyperlink" Target="https://leetcode.com/problems/remove-linked-list-elements/" TargetMode="External" Id="rId94"/><Relationship Type="http://schemas.openxmlformats.org/officeDocument/2006/relationships/hyperlink" Target="https://leetcode.com/problems/palindrome-linked-list/" TargetMode="External" Id="rId95"/><Relationship Type="http://schemas.openxmlformats.org/officeDocument/2006/relationships/hyperlink" Target="https://leetcode.com/problems/intersection-of-two-linked-lists/" TargetMode="External" Id="rId96"/><Relationship Type="http://schemas.openxmlformats.org/officeDocument/2006/relationships/hyperlink" Target="https://leetcode.com/problems/remove-nth-node-from-end-of-list/" TargetMode="External" Id="rId97"/><Relationship Type="http://schemas.openxmlformats.org/officeDocument/2006/relationships/hyperlink" Target="https://leetcode.com/problems/linked-list-cycle-ii/" TargetMode="External" Id="rId98"/><Relationship Type="http://schemas.openxmlformats.org/officeDocument/2006/relationships/hyperlink" Target="https://leetcode.com/problems/add-two-numbers/" TargetMode="External" Id="rId99"/><Relationship Type="http://schemas.openxmlformats.org/officeDocument/2006/relationships/hyperlink" Target="https://leetcode.com/problems/reorder-list/" TargetMode="External" Id="rId100"/><Relationship Type="http://schemas.openxmlformats.org/officeDocument/2006/relationships/hyperlink" Target="https://leetcode.com/problems/lru-cache/" TargetMode="External" Id="rId101"/><Relationship Type="http://schemas.openxmlformats.org/officeDocument/2006/relationships/hyperlink" Target="https://www.hackerrank.com/challenges/merge-two-sorted-linked-lists/problem" TargetMode="External" Id="rId102"/><Relationship Type="http://schemas.openxmlformats.org/officeDocument/2006/relationships/hyperlink" Target="https://leetcode.com/problems/valid-parentheses/" TargetMode="External" Id="rId103"/><Relationship Type="http://schemas.openxmlformats.org/officeDocument/2006/relationships/hyperlink" Target="https://leetcode.com/problems/min-stack/" TargetMode="External" Id="rId104"/><Relationship Type="http://schemas.openxmlformats.org/officeDocument/2006/relationships/hyperlink" Target="https://leetcode.com/problems/implement-queue-using-stacks/" TargetMode="External" Id="rId105"/><Relationship Type="http://schemas.openxmlformats.org/officeDocument/2006/relationships/hyperlink" Target="https://leetcode.com/problems/next-greater-element-i/" TargetMode="External" Id="rId106"/><Relationship Type="http://schemas.openxmlformats.org/officeDocument/2006/relationships/hyperlink" Target="https://leetcode.com/problems/evaluate-reverse-polish-notation/" TargetMode="External" Id="rId107"/><Relationship Type="http://schemas.openxmlformats.org/officeDocument/2006/relationships/hyperlink" Target="https://leetcode.com/problems/daily-temperatures/" TargetMode="External" Id="rId108"/><Relationship Type="http://schemas.openxmlformats.org/officeDocument/2006/relationships/hyperlink" Target="https://leetcode.com/problems/largest-rectangle-in-histogram/" TargetMode="External" Id="rId109"/><Relationship Type="http://schemas.openxmlformats.org/officeDocument/2006/relationships/hyperlink" Target="https://www.hackerrank.com/challenges/balanced-brackets/problem" TargetMode="External" Id="rId110"/><Relationship Type="http://schemas.openxmlformats.org/officeDocument/2006/relationships/hyperlink" Target="https://www.hackerrank.com/challenges/ctci-queue-using-two-stacks/problem" TargetMode="External" Id="rId111"/><Relationship Type="http://schemas.openxmlformats.org/officeDocument/2006/relationships/hyperlink" Target="https://leetcode.com/problems/maximum-depth-of-binary-tree/" TargetMode="External" Id="rId112"/><Relationship Type="http://schemas.openxmlformats.org/officeDocument/2006/relationships/hyperlink" Target="https://leetcode.com/problems/invert-binary-tree/" TargetMode="External" Id="rId113"/><Relationship Type="http://schemas.openxmlformats.org/officeDocument/2006/relationships/hyperlink" Target="https://leetcode.com/problems/same-tree/" TargetMode="External" Id="rId114"/><Relationship Type="http://schemas.openxmlformats.org/officeDocument/2006/relationships/hyperlink" Target="https://leetcode.com/problems/symmetric-tree/" TargetMode="External" Id="rId115"/><Relationship Type="http://schemas.openxmlformats.org/officeDocument/2006/relationships/hyperlink" Target="https://leetcode.com/problems/binary-tree-inorder-traversal/" TargetMode="External" Id="rId116"/><Relationship Type="http://schemas.openxmlformats.org/officeDocument/2006/relationships/hyperlink" Target="https://leetcode.com/problems/binary-tree-level-order-traversal/" TargetMode="External" Id="rId117"/><Relationship Type="http://schemas.openxmlformats.org/officeDocument/2006/relationships/hyperlink" Target="https://leetcode.com/problems/subtree-of-another-tree/" TargetMode="External" Id="rId118"/><Relationship Type="http://schemas.openxmlformats.org/officeDocument/2006/relationships/hyperlink" Target="https://leetcode.com/problems/diameter-of-binary-tree/" TargetMode="External" Id="rId119"/><Relationship Type="http://schemas.openxmlformats.org/officeDocument/2006/relationships/hyperlink" Target="https://leetcode.com/problems/balanced-binary-tree/" TargetMode="External" Id="rId120"/><Relationship Type="http://schemas.openxmlformats.org/officeDocument/2006/relationships/hyperlink" Target="https://leetcode.com/problems/path-sum/" TargetMode="External" Id="rId121"/><Relationship Type="http://schemas.openxmlformats.org/officeDocument/2006/relationships/hyperlink" Target="https://leetcode.com/problems/binary-tree-right-side-view/" TargetMode="External" Id="rId122"/><Relationship Type="http://schemas.openxmlformats.org/officeDocument/2006/relationships/hyperlink" Target="https://leetcode.com/problems/lowest-common-ancestor-of-a-binary-search-tree/" TargetMode="External" Id="rId123"/><Relationship Type="http://schemas.openxmlformats.org/officeDocument/2006/relationships/hyperlink" Target="https://leetcode.com/problems/lowest-common-ancestor-of-a-binary-tree/" TargetMode="External" Id="rId124"/><Relationship Type="http://schemas.openxmlformats.org/officeDocument/2006/relationships/hyperlink" Target="https://leetcode.com/problems/validate-binary-search-tree/" TargetMode="External" Id="rId125"/><Relationship Type="http://schemas.openxmlformats.org/officeDocument/2006/relationships/hyperlink" Target="https://leetcode.com/problems/kth-smallest-element-in-a-bst/" TargetMode="External" Id="rId126"/><Relationship Type="http://schemas.openxmlformats.org/officeDocument/2006/relationships/hyperlink" Target="https://leetcode.com/problems/convert-sorted-array-to-binary-search-tree/" TargetMode="External" Id="rId127"/><Relationship Type="http://schemas.openxmlformats.org/officeDocument/2006/relationships/hyperlink" Target="https://leetcode.com/problems/construct-binary-tree-from-preorder-and-inorder-traversal/" TargetMode="External" Id="rId128"/><Relationship Type="http://schemas.openxmlformats.org/officeDocument/2006/relationships/hyperlink" Target="https://leetcode.com/problems/binary-tree-maximum-path-sum/" TargetMode="External" Id="rId129"/><Relationship Type="http://schemas.openxmlformats.org/officeDocument/2006/relationships/hyperlink" Target="https://leetcode.com/problems/last-stone-weight/" TargetMode="External" Id="rId130"/><Relationship Type="http://schemas.openxmlformats.org/officeDocument/2006/relationships/hyperlink" Target="https://leetcode.com/problems/kth-largest-element-in-a-stream/" TargetMode="External" Id="rId131"/><Relationship Type="http://schemas.openxmlformats.org/officeDocument/2006/relationships/hyperlink" Target="https://leetcode.com/problems/k-closest-points-to-origin/" TargetMode="External" Id="rId132"/><Relationship Type="http://schemas.openxmlformats.org/officeDocument/2006/relationships/hyperlink" Target="https://leetcode.com/problems/task-scheduler/" TargetMode="External" Id="rId133"/><Relationship Type="http://schemas.openxmlformats.org/officeDocument/2006/relationships/hyperlink" Target="https://leetcode.com/problems/merge-k-sorted-lists/" TargetMode="External" Id="rId134"/><Relationship Type="http://schemas.openxmlformats.org/officeDocument/2006/relationships/hyperlink" Target="https://leetcode.com/problems/find-median-from-data-stream/" TargetMode="External" Id="rId135"/><Relationship Type="http://schemas.openxmlformats.org/officeDocument/2006/relationships/hyperlink" Target="https://www.hackerrank.com/challenges/jesse-and-cookies/problem" TargetMode="External" Id="rId136"/><Relationship Type="http://schemas.openxmlformats.org/officeDocument/2006/relationships/hyperlink" Target="https://leetcode.com/problems/assign-cookies/" TargetMode="External" Id="rId137"/><Relationship Type="http://schemas.openxmlformats.org/officeDocument/2006/relationships/hyperlink" Target="https://leetcode.com/problems/jump-game/" TargetMode="External" Id="rId138"/><Relationship Type="http://schemas.openxmlformats.org/officeDocument/2006/relationships/hyperlink" Target="https://leetcode.com/problems/jump-game-ii/" TargetMode="External" Id="rId139"/><Relationship Type="http://schemas.openxmlformats.org/officeDocument/2006/relationships/hyperlink" Target="https://leetcode.com/problems/gas-station/" TargetMode="External" Id="rId140"/><Relationship Type="http://schemas.openxmlformats.org/officeDocument/2006/relationships/hyperlink" Target="https://leetcode.com/problems/non-overlapping-intervals/" TargetMode="External" Id="rId141"/><Relationship Type="http://schemas.openxmlformats.org/officeDocument/2006/relationships/hyperlink" Target="https://leetcode.com/problems/partition-labels/" TargetMode="External" Id="rId142"/><Relationship Type="http://schemas.openxmlformats.org/officeDocument/2006/relationships/hyperlink" Target="https://www.hackerrank.com/challenges/climbing-the-leaderboard/problem" TargetMode="External" Id="rId143"/><Relationship Type="http://schemas.openxmlformats.org/officeDocument/2006/relationships/hyperlink" Target="https://leetcode.com/problems/flood-fill/" TargetMode="External" Id="rId144"/><Relationship Type="http://schemas.openxmlformats.org/officeDocument/2006/relationships/hyperlink" Target="https://leetcode.com/problems/find-if-path-exists-in-graph/" TargetMode="External" Id="rId145"/><Relationship Type="http://schemas.openxmlformats.org/officeDocument/2006/relationships/hyperlink" Target="https://leetcode.com/problems/number-of-islands/" TargetMode="External" Id="rId146"/><Relationship Type="http://schemas.openxmlformats.org/officeDocument/2006/relationships/hyperlink" Target="https://leetcode.com/problems/max-area-of-island/" TargetMode="External" Id="rId147"/><Relationship Type="http://schemas.openxmlformats.org/officeDocument/2006/relationships/hyperlink" Target="https://leetcode.com/problems/number-of-provinces/" TargetMode="External" Id="rId148"/><Relationship Type="http://schemas.openxmlformats.org/officeDocument/2006/relationships/hyperlink" Target="https://leetcode.com/problems/clone-graph/" TargetMode="External" Id="rId149"/><Relationship Type="http://schemas.openxmlformats.org/officeDocument/2006/relationships/hyperlink" Target="https://leetcode.com/problems/rotting-oranges/" TargetMode="External" Id="rId150"/><Relationship Type="http://schemas.openxmlformats.org/officeDocument/2006/relationships/hyperlink" Target="https://leetcode.com/problems/pacific-atlantic-water-flow/" TargetMode="External" Id="rId151"/><Relationship Type="http://schemas.openxmlformats.org/officeDocument/2006/relationships/hyperlink" Target="https://leetcode.com/problems/surrounded-regions/" TargetMode="External" Id="rId152"/><Relationship Type="http://schemas.openxmlformats.org/officeDocument/2006/relationships/hyperlink" Target="https://leetcode.com/problems/course-schedule/" TargetMode="External" Id="rId153"/><Relationship Type="http://schemas.openxmlformats.org/officeDocument/2006/relationships/hyperlink" Target="https://leetcode.com/problems/course-schedule-ii/" TargetMode="External" Id="rId154"/><Relationship Type="http://schemas.openxmlformats.org/officeDocument/2006/relationships/hyperlink" Target="https://leetcode.com/problems/is-graph-bipartite/" TargetMode="External" Id="rId155"/><Relationship Type="http://schemas.openxmlformats.org/officeDocument/2006/relationships/hyperlink" Target="https://leetcode.com/problems/word-ladder/" TargetMode="External" Id="rId156"/><Relationship Type="http://schemas.openxmlformats.org/officeDocument/2006/relationships/hyperlink" Target="https://leetcode.com/problems/network-delay-time/" TargetMode="External" Id="rId157"/><Relationship Type="http://schemas.openxmlformats.org/officeDocument/2006/relationships/hyperlink" Target="https://leetcode.com/problems/cheapest-flights-within-k-stops/" TargetMode="External" Id="rId158"/><Relationship Type="http://schemas.openxmlformats.org/officeDocument/2006/relationships/hyperlink" Target="https://www.hackerrank.com/challenges/torque-and-development/problem" TargetMode="External" Id="rId159"/><Relationship Type="http://schemas.openxmlformats.org/officeDocument/2006/relationships/hyperlink" Target="https://leetcode.com/problems/climbing-stairs/" TargetMode="External" Id="rId160"/><Relationship Type="http://schemas.openxmlformats.org/officeDocument/2006/relationships/hyperlink" Target="https://leetcode.com/problems/min-cost-climbing-stairs/" TargetMode="External" Id="rId161"/><Relationship Type="http://schemas.openxmlformats.org/officeDocument/2006/relationships/hyperlink" Target="https://leetcode.com/problems/house-robber/" TargetMode="External" Id="rId162"/><Relationship Type="http://schemas.openxmlformats.org/officeDocument/2006/relationships/hyperlink" Target="https://leetcode.com/problems/house-robber-ii/" TargetMode="External" Id="rId163"/><Relationship Type="http://schemas.openxmlformats.org/officeDocument/2006/relationships/hyperlink" Target="https://leetcode.com/problems/coin-change/" TargetMode="External" Id="rId164"/><Relationship Type="http://schemas.openxmlformats.org/officeDocument/2006/relationships/hyperlink" Target="https://leetcode.com/problems/longest-increasing-subsequence/" TargetMode="External" Id="rId165"/><Relationship Type="http://schemas.openxmlformats.org/officeDocument/2006/relationships/hyperlink" Target="https://leetcode.com/problems/unique-paths/" TargetMode="External" Id="rId166"/><Relationship Type="http://schemas.openxmlformats.org/officeDocument/2006/relationships/hyperlink" Target="https://leetcode.com/problems/minimum-path-sum/" TargetMode="External" Id="rId167"/><Relationship Type="http://schemas.openxmlformats.org/officeDocument/2006/relationships/hyperlink" Target="https://leetcode.com/problems/decode-ways/" TargetMode="External" Id="rId168"/><Relationship Type="http://schemas.openxmlformats.org/officeDocument/2006/relationships/hyperlink" Target="https://leetcode.com/problems/word-break/" TargetMode="External" Id="rId169"/><Relationship Type="http://schemas.openxmlformats.org/officeDocument/2006/relationships/hyperlink" Target="https://leetcode.com/problems/maximum-product-subarray/" TargetMode="External" Id="rId170"/><Relationship Type="http://schemas.openxmlformats.org/officeDocument/2006/relationships/hyperlink" Target="https://leetcode.com/problems/longest-common-subsequence/" TargetMode="External" Id="rId171"/><Relationship Type="http://schemas.openxmlformats.org/officeDocument/2006/relationships/hyperlink" Target="https://leetcode.com/problems/partition-equal-subset-sum/" TargetMode="External" Id="rId172"/><Relationship Type="http://schemas.openxmlformats.org/officeDocument/2006/relationships/hyperlink" Target="https://leetcode.com/problems/target-sum/" TargetMode="External" Id="rId173"/><Relationship Type="http://schemas.openxmlformats.org/officeDocument/2006/relationships/hyperlink" Target="https://leetcode.com/problems/longest-palindromic-substring/" TargetMode="External" Id="rId174"/><Relationship Type="http://schemas.openxmlformats.org/officeDocument/2006/relationships/hyperlink" Target="https://leetcode.com/problems/palindromic-substrings/" TargetMode="External" Id="rId175"/><Relationship Type="http://schemas.openxmlformats.org/officeDocument/2006/relationships/hyperlink" Target="https://leetcode.com/problems/edit-distance/" TargetMode="External" Id="rId176"/><Relationship Type="http://schemas.openxmlformats.org/officeDocument/2006/relationships/hyperlink" Target="https://leetcode.com/problems/implement-trie-prefix-tree/" TargetMode="External" Id="rId177"/><Relationship Type="http://schemas.openxmlformats.org/officeDocument/2006/relationships/hyperlink" Target="https://leetcode.com/problems/design-add-and-search-words-data-structure/" TargetMode="External" Id="rId178"/><Relationship Type="http://schemas.openxmlformats.org/officeDocument/2006/relationships/hyperlink" Target="https://leetcode.com/problems/word-search-ii/" TargetMode="External" Id="rId17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ackerrank.com/challenges/solve-me-first/problem" TargetMode="External" Id="rId1"/><Relationship Type="http://schemas.openxmlformats.org/officeDocument/2006/relationships/hyperlink" Target="https://www.hackerrank.com/challenges/simple-array-sum/problem" TargetMode="External" Id="rId2"/><Relationship Type="http://schemas.openxmlformats.org/officeDocument/2006/relationships/hyperlink" Target="https://www.hackerrank.com/challenges/compare-the-triplets/problem" TargetMode="External" Id="rId3"/><Relationship Type="http://schemas.openxmlformats.org/officeDocument/2006/relationships/hyperlink" Target="https://www.hackerrank.com/challenges/a-very-big-sum/problem" TargetMode="External" Id="rId4"/><Relationship Type="http://schemas.openxmlformats.org/officeDocument/2006/relationships/hyperlink" Target="https://www.hackerrank.com/challenges/diagonal-difference/problem" TargetMode="External" Id="rId5"/><Relationship Type="http://schemas.openxmlformats.org/officeDocument/2006/relationships/hyperlink" Target="https://www.hackerrank.com/challenges/plus-minus/problem" TargetMode="External" Id="rId6"/><Relationship Type="http://schemas.openxmlformats.org/officeDocument/2006/relationships/hyperlink" Target="https://www.hackerrank.com/challenges/staircase/problem" TargetMode="External" Id="rId7"/><Relationship Type="http://schemas.openxmlformats.org/officeDocument/2006/relationships/hyperlink" Target="https://www.hackerrank.com/challenges/mini-max-sum/problem" TargetMode="External" Id="rId8"/><Relationship Type="http://schemas.openxmlformats.org/officeDocument/2006/relationships/hyperlink" Target="https://www.hackerrank.com/challenges/birthday-cake-candles/problem" TargetMode="External" Id="rId9"/><Relationship Type="http://schemas.openxmlformats.org/officeDocument/2006/relationships/hyperlink" Target="https://www.hackerrank.com/challenges/time-conversion/problem" TargetMode="External" Id="rId10"/><Relationship Type="http://schemas.openxmlformats.org/officeDocument/2006/relationships/hyperlink" Target="https://leetcode.com/problems/fizz-buzz/" TargetMode="External" Id="rId11"/><Relationship Type="http://schemas.openxmlformats.org/officeDocument/2006/relationships/hyperlink" Target="https://leetcode.com/problems/running-sum-of-1d-array/" TargetMode="External" Id="rId12"/><Relationship Type="http://schemas.openxmlformats.org/officeDocument/2006/relationships/hyperlink" Target="https://leetcode.com/problems/contains-duplicate/" TargetMode="External" Id="rId13"/><Relationship Type="http://schemas.openxmlformats.org/officeDocument/2006/relationships/hyperlink" Target="https://leetcode.com/problems/best-time-to-buy-and-sell-stock/" TargetMode="External" Id="rId14"/><Relationship Type="http://schemas.openxmlformats.org/officeDocument/2006/relationships/hyperlink" Target="https://leetcode.com/problems/maximum-subarray/" TargetMode="External" Id="rId15"/><Relationship Type="http://schemas.openxmlformats.org/officeDocument/2006/relationships/hyperlink" Target="https://leetcode.com/problems/move-zeroes/" TargetMode="External" Id="rId16"/><Relationship Type="http://schemas.openxmlformats.org/officeDocument/2006/relationships/hyperlink" Target="https://leetcode.com/problems/remove-duplicates-from-sorted-array/" TargetMode="External" Id="rId17"/><Relationship Type="http://schemas.openxmlformats.org/officeDocument/2006/relationships/hyperlink" Target="https://leetcode.com/problems/merge-sorted-array/" TargetMode="External" Id="rId18"/><Relationship Type="http://schemas.openxmlformats.org/officeDocument/2006/relationships/hyperlink" Target="https://leetcode.com/problems/plus-one/" TargetMode="External" Id="rId19"/><Relationship Type="http://schemas.openxmlformats.org/officeDocument/2006/relationships/hyperlink" Target="https://leetcode.com/problems/rotate-array/" TargetMode="External" Id="rId20"/><Relationship Type="http://schemas.openxmlformats.org/officeDocument/2006/relationships/hyperlink" Target="https://leetcode.com/problems/majority-element/" TargetMode="External" Id="rId21"/><Relationship Type="http://schemas.openxmlformats.org/officeDocument/2006/relationships/hyperlink" Target="https://leetcode.com/problems/reverse-string/" TargetMode="External" Id="rId22"/><Relationship Type="http://schemas.openxmlformats.org/officeDocument/2006/relationships/hyperlink" Target="https://leetcode.com/problems/valid-palindrome/" TargetMode="External" Id="rId23"/><Relationship Type="http://schemas.openxmlformats.org/officeDocument/2006/relationships/hyperlink" Target="https://leetcode.com/problems/longest-common-prefix/" TargetMode="External" Id="rId24"/><Relationship Type="http://schemas.openxmlformats.org/officeDocument/2006/relationships/hyperlink" Target="https://leetcode.com/problems/roman-to-integer/" TargetMode="External" Id="rId25"/><Relationship Type="http://schemas.openxmlformats.org/officeDocument/2006/relationships/hyperlink" Target="https://leetcode.com/problems/product-of-array-except-self/" TargetMode="External" Id="rId26"/><Relationship Type="http://schemas.openxmlformats.org/officeDocument/2006/relationships/hyperlink" Target="https://leetcode.com/problems/two-sum/" TargetMode="External" Id="rId27"/><Relationship Type="http://schemas.openxmlformats.org/officeDocument/2006/relationships/hyperlink" Target="https://leetcode.com/problems/valid-anagram/" TargetMode="External" Id="rId28"/><Relationship Type="http://schemas.openxmlformats.org/officeDocument/2006/relationships/hyperlink" Target="https://leetcode.com/problems/ransom-note/" TargetMode="External" Id="rId29"/><Relationship Type="http://schemas.openxmlformats.org/officeDocument/2006/relationships/hyperlink" Target="https://leetcode.com/problems/first-unique-character-in-a-string/" TargetMode="External" Id="rId30"/><Relationship Type="http://schemas.openxmlformats.org/officeDocument/2006/relationships/hyperlink" Target="https://leetcode.com/problems/isomorphic-strings/" TargetMode="External" Id="rId31"/><Relationship Type="http://schemas.openxmlformats.org/officeDocument/2006/relationships/hyperlink" Target="https://leetcode.com/problems/single-number/" TargetMode="External" Id="rId32"/><Relationship Type="http://schemas.openxmlformats.org/officeDocument/2006/relationships/hyperlink" Target="https://leetcode.com/problems/missing-number/" TargetMode="External" Id="rId33"/><Relationship Type="http://schemas.openxmlformats.org/officeDocument/2006/relationships/hyperlink" Target="https://leetcode.com/problems/group-anagrams/" TargetMode="External" Id="rId34"/><Relationship Type="http://schemas.openxmlformats.org/officeDocument/2006/relationships/hyperlink" Target="https://leetcode.com/problems/top-k-frequent-elements/" TargetMode="External" Id="rId35"/><Relationship Type="http://schemas.openxmlformats.org/officeDocument/2006/relationships/hyperlink" Target="https://leetcode.com/problems/longest-consecutive-sequence/" TargetMode="External" Id="rId36"/><Relationship Type="http://schemas.openxmlformats.org/officeDocument/2006/relationships/hyperlink" Target="https://leetcode.com/problems/subarray-sum-equals-k/" TargetMode="External" Id="rId37"/><Relationship Type="http://schemas.openxmlformats.org/officeDocument/2006/relationships/hyperlink" Target="https://leetcode.com/problems/contains-duplicate-ii/" TargetMode="External" Id="rId38"/><Relationship Type="http://schemas.openxmlformats.org/officeDocument/2006/relationships/hyperlink" Target="https://leetcode.com/problems/happy-number/" TargetMode="External" Id="rId39"/><Relationship Type="http://schemas.openxmlformats.org/officeDocument/2006/relationships/hyperlink" Target="https://www.hackerrank.com/challenges/lonely-integer/problem" TargetMode="External" Id="rId40"/><Relationship Type="http://schemas.openxmlformats.org/officeDocument/2006/relationships/hyperlink" Target="https://www.hackerrank.com/challenges/two-strings/problem" TargetMode="External" Id="rId41"/><Relationship Type="http://schemas.openxmlformats.org/officeDocument/2006/relationships/hyperlink" Target="https://www.hackerrank.com/challenges/sparse-arrays/problem" TargetMode="External" Id="rId42"/><Relationship Type="http://schemas.openxmlformats.org/officeDocument/2006/relationships/hyperlink" Target="https://www.hackerrank.com/challenges/sherlock-and-anagrams/problem" TargetMode="External" Id="rId43"/><Relationship Type="http://schemas.openxmlformats.org/officeDocument/2006/relationships/hyperlink" Target="https://leetcode.com/problems/two-sum-ii-input-array-is-sorted/" TargetMode="External" Id="rId44"/><Relationship Type="http://schemas.openxmlformats.org/officeDocument/2006/relationships/hyperlink" Target="https://leetcode.com/problems/valid-palindrome-ii/" TargetMode="External" Id="rId45"/><Relationship Type="http://schemas.openxmlformats.org/officeDocument/2006/relationships/hyperlink" Target="https://leetcode.com/problems/3sum/" TargetMode="External" Id="rId46"/><Relationship Type="http://schemas.openxmlformats.org/officeDocument/2006/relationships/hyperlink" Target="https://leetcode.com/problems/container-with-most-water/" TargetMode="External" Id="rId47"/><Relationship Type="http://schemas.openxmlformats.org/officeDocument/2006/relationships/hyperlink" Target="https://leetcode.com/problems/trapping-rain-water/" TargetMode="External" Id="rId48"/><Relationship Type="http://schemas.openxmlformats.org/officeDocument/2006/relationships/hyperlink" Target="https://leetcode.com/problems/maximum-average-subarray-i/" TargetMode="External" Id="rId49"/><Relationship Type="http://schemas.openxmlformats.org/officeDocument/2006/relationships/hyperlink" Target="https://leetcode.com/problems/longest-substring-without-repeating-characters/" TargetMode="External" Id="rId50"/><Relationship Type="http://schemas.openxmlformats.org/officeDocument/2006/relationships/hyperlink" Target="https://leetcode.com/problems/minimum-size-subarray-sum/" TargetMode="External" Id="rId51"/><Relationship Type="http://schemas.openxmlformats.org/officeDocument/2006/relationships/hyperlink" Target="https://leetcode.com/problems/longest-repeating-character-replacement/" TargetMode="External" Id="rId52"/><Relationship Type="http://schemas.openxmlformats.org/officeDocument/2006/relationships/hyperlink" Target="https://leetcode.com/problems/permutation-in-string/" TargetMode="External" Id="rId53"/><Relationship Type="http://schemas.openxmlformats.org/officeDocument/2006/relationships/hyperlink" Target="https://leetcode.com/problems/minimum-window-substring/" TargetMode="External" Id="rId54"/><Relationship Type="http://schemas.openxmlformats.org/officeDocument/2006/relationships/hyperlink" Target="https://leetcode.com/problems/sliding-window-maximum/" TargetMode="External" Id="rId55"/><Relationship Type="http://schemas.openxmlformats.org/officeDocument/2006/relationships/hyperlink" Target="https://leetcode.com/problems/binary-search/" TargetMode="External" Id="rId56"/><Relationship Type="http://schemas.openxmlformats.org/officeDocument/2006/relationships/hyperlink" Target="https://leetcode.com/problems/search-insert-position/" TargetMode="External" Id="rId57"/><Relationship Type="http://schemas.openxmlformats.org/officeDocument/2006/relationships/hyperlink" Target="https://leetcode.com/problems/first-bad-version/" TargetMode="External" Id="rId58"/><Relationship Type="http://schemas.openxmlformats.org/officeDocument/2006/relationships/hyperlink" Target="https://leetcode.com/problems/sqrtx/" TargetMode="External" Id="rId59"/><Relationship Type="http://schemas.openxmlformats.org/officeDocument/2006/relationships/hyperlink" Target="https://leetcode.com/problems/find-first-and-last-position-of-element-in-sorted-array/" TargetMode="External" Id="rId60"/><Relationship Type="http://schemas.openxmlformats.org/officeDocument/2006/relationships/hyperlink" Target="https://leetcode.com/problems/search-in-rotated-sorted-array/" TargetMode="External" Id="rId61"/><Relationship Type="http://schemas.openxmlformats.org/officeDocument/2006/relationships/hyperlink" Target="https://leetcode.com/problems/find-minimum-in-rotated-sorted-array/" TargetMode="External" Id="rId62"/><Relationship Type="http://schemas.openxmlformats.org/officeDocument/2006/relationships/hyperlink" Target="https://leetcode.com/problems/search-a-2d-matrix/" TargetMode="External" Id="rId63"/><Relationship Type="http://schemas.openxmlformats.org/officeDocument/2006/relationships/hyperlink" Target="https://leetcode.com/problems/koko-eating-bananas/" TargetMode="External" Id="rId64"/><Relationship Type="http://schemas.openxmlformats.org/officeDocument/2006/relationships/hyperlink" Target="https://leetcode.com/problems/sort-colors/" TargetMode="External" Id="rId65"/><Relationship Type="http://schemas.openxmlformats.org/officeDocument/2006/relationships/hyperlink" Target="https://leetcode.com/problems/merge-intervals/" TargetMode="External" Id="rId66"/><Relationship Type="http://schemas.openxmlformats.org/officeDocument/2006/relationships/hyperlink" Target="https://leetcode.com/problems/kth-largest-element-in-an-array/" TargetMode="External" Id="rId67"/><Relationship Type="http://schemas.openxmlformats.org/officeDocument/2006/relationships/hyperlink" Target="https://leetcode.com/problems/palindrome-number/" TargetMode="External" Id="rId68"/><Relationship Type="http://schemas.openxmlformats.org/officeDocument/2006/relationships/hyperlink" Target="https://leetcode.com/problems/reverse-integer/" TargetMode="External" Id="rId69"/><Relationship Type="http://schemas.openxmlformats.org/officeDocument/2006/relationships/hyperlink" Target="https://leetcode.com/problems/count-primes/" TargetMode="External" Id="rId70"/><Relationship Type="http://schemas.openxmlformats.org/officeDocument/2006/relationships/hyperlink" Target="https://leetcode.com/problems/power-of-two/" TargetMode="External" Id="rId71"/><Relationship Type="http://schemas.openxmlformats.org/officeDocument/2006/relationships/hyperlink" Target="https://leetcode.com/problems/powx-n/" TargetMode="External" Id="rId72"/><Relationship Type="http://schemas.openxmlformats.org/officeDocument/2006/relationships/hyperlink" Target="https://leetcode.com/problems/rotate-image/" TargetMode="External" Id="rId73"/><Relationship Type="http://schemas.openxmlformats.org/officeDocument/2006/relationships/hyperlink" Target="https://leetcode.com/problems/spiral-matrix/" TargetMode="External" Id="rId74"/><Relationship Type="http://schemas.openxmlformats.org/officeDocument/2006/relationships/hyperlink" Target="https://leetcode.com/problems/set-matrix-zeroes/" TargetMode="External" Id="rId75"/><Relationship Type="http://schemas.openxmlformats.org/officeDocument/2006/relationships/hyperlink" Target="https://leetcode.com/problems/valid-sudoku/" TargetMode="External" Id="rId76"/><Relationship Type="http://schemas.openxmlformats.org/officeDocument/2006/relationships/hyperlink" Target="https://leetcode.com/problems/insert-interval/" TargetMode="External" Id="rId77"/><Relationship Type="http://schemas.openxmlformats.org/officeDocument/2006/relationships/hyperlink" Target="https://leetcode.com/problems/number-of-1-bits/" TargetMode="External" Id="rId78"/><Relationship Type="http://schemas.openxmlformats.org/officeDocument/2006/relationships/hyperlink" Target="https://leetcode.com/problems/counting-bits/" TargetMode="External" Id="rId79"/><Relationship Type="http://schemas.openxmlformats.org/officeDocument/2006/relationships/hyperlink" Target="https://leetcode.com/problems/reverse-bits/" TargetMode="External" Id="rId80"/><Relationship Type="http://schemas.openxmlformats.org/officeDocument/2006/relationships/hyperlink" Target="https://leetcode.com/problems/sum-of-two-integers/" TargetMode="External" Id="rId81"/><Relationship Type="http://schemas.openxmlformats.org/officeDocument/2006/relationships/hyperlink" Target="https://leetcode.com/problems/fibonacci-number/" TargetMode="External" Id="rId82"/><Relationship Type="http://schemas.openxmlformats.org/officeDocument/2006/relationships/hyperlink" Target="https://leetcode.com/problems/subsets/" TargetMode="External" Id="rId83"/><Relationship Type="http://schemas.openxmlformats.org/officeDocument/2006/relationships/hyperlink" Target="https://leetcode.com/problems/permutations/" TargetMode="External" Id="rId84"/><Relationship Type="http://schemas.openxmlformats.org/officeDocument/2006/relationships/hyperlink" Target="https://leetcode.com/problems/combination-sum/" TargetMode="External" Id="rId85"/><Relationship Type="http://schemas.openxmlformats.org/officeDocument/2006/relationships/hyperlink" Target="https://leetcode.com/problems/letter-combinations-of-a-phone-number/" TargetMode="External" Id="rId86"/><Relationship Type="http://schemas.openxmlformats.org/officeDocument/2006/relationships/hyperlink" Target="https://leetcode.com/problems/generate-parentheses/" TargetMode="External" Id="rId87"/><Relationship Type="http://schemas.openxmlformats.org/officeDocument/2006/relationships/hyperlink" Target="https://leetcode.com/problems/word-search/" TargetMode="External" Id="rId88"/><Relationship Type="http://schemas.openxmlformats.org/officeDocument/2006/relationships/hyperlink" Target="https://leetcode.com/problems/palindrome-partitioning/" TargetMode="External" Id="rId89"/><Relationship Type="http://schemas.openxmlformats.org/officeDocument/2006/relationships/hyperlink" Target="https://leetcode.com/problems/reverse-linked-list/" TargetMode="External" Id="rId90"/><Relationship Type="http://schemas.openxmlformats.org/officeDocument/2006/relationships/hyperlink" Target="https://leetcode.com/problems/merge-two-sorted-lists/" TargetMode="External" Id="rId91"/><Relationship Type="http://schemas.openxmlformats.org/officeDocument/2006/relationships/hyperlink" Target="https://leetcode.com/problems/linked-list-cycle/" TargetMode="External" Id="rId92"/><Relationship Type="http://schemas.openxmlformats.org/officeDocument/2006/relationships/hyperlink" Target="https://leetcode.com/problems/middle-of-the-linked-list/" TargetMode="External" Id="rId93"/><Relationship Type="http://schemas.openxmlformats.org/officeDocument/2006/relationships/hyperlink" Target="https://leetcode.com/problems/remove-linked-list-elements/" TargetMode="External" Id="rId94"/><Relationship Type="http://schemas.openxmlformats.org/officeDocument/2006/relationships/hyperlink" Target="https://leetcode.com/problems/palindrome-linked-list/" TargetMode="External" Id="rId95"/><Relationship Type="http://schemas.openxmlformats.org/officeDocument/2006/relationships/hyperlink" Target="https://leetcode.com/problems/intersection-of-two-linked-lists/" TargetMode="External" Id="rId96"/><Relationship Type="http://schemas.openxmlformats.org/officeDocument/2006/relationships/hyperlink" Target="https://leetcode.com/problems/remove-nth-node-from-end-of-list/" TargetMode="External" Id="rId97"/><Relationship Type="http://schemas.openxmlformats.org/officeDocument/2006/relationships/hyperlink" Target="https://leetcode.com/problems/linked-list-cycle-ii/" TargetMode="External" Id="rId98"/><Relationship Type="http://schemas.openxmlformats.org/officeDocument/2006/relationships/hyperlink" Target="https://leetcode.com/problems/add-two-numbers/" TargetMode="External" Id="rId99"/><Relationship Type="http://schemas.openxmlformats.org/officeDocument/2006/relationships/hyperlink" Target="https://leetcode.com/problems/reorder-list/" TargetMode="External" Id="rId100"/><Relationship Type="http://schemas.openxmlformats.org/officeDocument/2006/relationships/hyperlink" Target="https://leetcode.com/problems/lru-cache/" TargetMode="External" Id="rId101"/><Relationship Type="http://schemas.openxmlformats.org/officeDocument/2006/relationships/hyperlink" Target="https://www.hackerrank.com/challenges/merge-two-sorted-linked-lists/problem" TargetMode="External" Id="rId102"/><Relationship Type="http://schemas.openxmlformats.org/officeDocument/2006/relationships/hyperlink" Target="https://leetcode.com/problems/valid-parentheses/" TargetMode="External" Id="rId103"/><Relationship Type="http://schemas.openxmlformats.org/officeDocument/2006/relationships/hyperlink" Target="https://leetcode.com/problems/min-stack/" TargetMode="External" Id="rId104"/><Relationship Type="http://schemas.openxmlformats.org/officeDocument/2006/relationships/hyperlink" Target="https://leetcode.com/problems/implement-queue-using-stacks/" TargetMode="External" Id="rId105"/><Relationship Type="http://schemas.openxmlformats.org/officeDocument/2006/relationships/hyperlink" Target="https://leetcode.com/problems/next-greater-element-i/" TargetMode="External" Id="rId106"/><Relationship Type="http://schemas.openxmlformats.org/officeDocument/2006/relationships/hyperlink" Target="https://leetcode.com/problems/evaluate-reverse-polish-notation/" TargetMode="External" Id="rId107"/><Relationship Type="http://schemas.openxmlformats.org/officeDocument/2006/relationships/hyperlink" Target="https://leetcode.com/problems/daily-temperatures/" TargetMode="External" Id="rId108"/><Relationship Type="http://schemas.openxmlformats.org/officeDocument/2006/relationships/hyperlink" Target="https://leetcode.com/problems/largest-rectangle-in-histogram/" TargetMode="External" Id="rId109"/><Relationship Type="http://schemas.openxmlformats.org/officeDocument/2006/relationships/hyperlink" Target="https://www.hackerrank.com/challenges/balanced-brackets/problem" TargetMode="External" Id="rId110"/><Relationship Type="http://schemas.openxmlformats.org/officeDocument/2006/relationships/hyperlink" Target="https://www.hackerrank.com/challenges/ctci-queue-using-two-stacks/problem" TargetMode="External" Id="rId111"/><Relationship Type="http://schemas.openxmlformats.org/officeDocument/2006/relationships/hyperlink" Target="https://leetcode.com/problems/maximum-depth-of-binary-tree/" TargetMode="External" Id="rId112"/><Relationship Type="http://schemas.openxmlformats.org/officeDocument/2006/relationships/hyperlink" Target="https://leetcode.com/problems/invert-binary-tree/" TargetMode="External" Id="rId113"/><Relationship Type="http://schemas.openxmlformats.org/officeDocument/2006/relationships/hyperlink" Target="https://leetcode.com/problems/same-tree/" TargetMode="External" Id="rId114"/><Relationship Type="http://schemas.openxmlformats.org/officeDocument/2006/relationships/hyperlink" Target="https://leetcode.com/problems/symmetric-tree/" TargetMode="External" Id="rId115"/><Relationship Type="http://schemas.openxmlformats.org/officeDocument/2006/relationships/hyperlink" Target="https://leetcode.com/problems/binary-tree-inorder-traversal/" TargetMode="External" Id="rId116"/><Relationship Type="http://schemas.openxmlformats.org/officeDocument/2006/relationships/hyperlink" Target="https://leetcode.com/problems/binary-tree-level-order-traversal/" TargetMode="External" Id="rId117"/><Relationship Type="http://schemas.openxmlformats.org/officeDocument/2006/relationships/hyperlink" Target="https://leetcode.com/problems/subtree-of-another-tree/" TargetMode="External" Id="rId118"/><Relationship Type="http://schemas.openxmlformats.org/officeDocument/2006/relationships/hyperlink" Target="https://leetcode.com/problems/diameter-of-binary-tree/" TargetMode="External" Id="rId119"/><Relationship Type="http://schemas.openxmlformats.org/officeDocument/2006/relationships/hyperlink" Target="https://leetcode.com/problems/balanced-binary-tree/" TargetMode="External" Id="rId120"/><Relationship Type="http://schemas.openxmlformats.org/officeDocument/2006/relationships/hyperlink" Target="https://leetcode.com/problems/path-sum/" TargetMode="External" Id="rId121"/><Relationship Type="http://schemas.openxmlformats.org/officeDocument/2006/relationships/hyperlink" Target="https://leetcode.com/problems/binary-tree-right-side-view/" TargetMode="External" Id="rId122"/><Relationship Type="http://schemas.openxmlformats.org/officeDocument/2006/relationships/hyperlink" Target="https://leetcode.com/problems/lowest-common-ancestor-of-a-binary-search-tree/" TargetMode="External" Id="rId123"/><Relationship Type="http://schemas.openxmlformats.org/officeDocument/2006/relationships/hyperlink" Target="https://leetcode.com/problems/lowest-common-ancestor-of-a-binary-tree/" TargetMode="External" Id="rId124"/><Relationship Type="http://schemas.openxmlformats.org/officeDocument/2006/relationships/hyperlink" Target="https://leetcode.com/problems/validate-binary-search-tree/" TargetMode="External" Id="rId125"/><Relationship Type="http://schemas.openxmlformats.org/officeDocument/2006/relationships/hyperlink" Target="https://leetcode.com/problems/kth-smallest-element-in-a-bst/" TargetMode="External" Id="rId126"/><Relationship Type="http://schemas.openxmlformats.org/officeDocument/2006/relationships/hyperlink" Target="https://leetcode.com/problems/convert-sorted-array-to-binary-search-tree/" TargetMode="External" Id="rId127"/><Relationship Type="http://schemas.openxmlformats.org/officeDocument/2006/relationships/hyperlink" Target="https://leetcode.com/problems/construct-binary-tree-from-preorder-and-inorder-traversal/" TargetMode="External" Id="rId128"/><Relationship Type="http://schemas.openxmlformats.org/officeDocument/2006/relationships/hyperlink" Target="https://leetcode.com/problems/binary-tree-maximum-path-sum/" TargetMode="External" Id="rId129"/><Relationship Type="http://schemas.openxmlformats.org/officeDocument/2006/relationships/hyperlink" Target="https://leetcode.com/problems/last-stone-weight/" TargetMode="External" Id="rId130"/><Relationship Type="http://schemas.openxmlformats.org/officeDocument/2006/relationships/hyperlink" Target="https://leetcode.com/problems/kth-largest-element-in-a-stream/" TargetMode="External" Id="rId131"/><Relationship Type="http://schemas.openxmlformats.org/officeDocument/2006/relationships/hyperlink" Target="https://leetcode.com/problems/k-closest-points-to-origin/" TargetMode="External" Id="rId132"/><Relationship Type="http://schemas.openxmlformats.org/officeDocument/2006/relationships/hyperlink" Target="https://leetcode.com/problems/task-scheduler/" TargetMode="External" Id="rId133"/><Relationship Type="http://schemas.openxmlformats.org/officeDocument/2006/relationships/hyperlink" Target="https://leetcode.com/problems/merge-k-sorted-lists/" TargetMode="External" Id="rId134"/><Relationship Type="http://schemas.openxmlformats.org/officeDocument/2006/relationships/hyperlink" Target="https://leetcode.com/problems/find-median-from-data-stream/" TargetMode="External" Id="rId135"/><Relationship Type="http://schemas.openxmlformats.org/officeDocument/2006/relationships/hyperlink" Target="https://www.hackerrank.com/challenges/jesse-and-cookies/problem" TargetMode="External" Id="rId136"/><Relationship Type="http://schemas.openxmlformats.org/officeDocument/2006/relationships/hyperlink" Target="https://leetcode.com/problems/assign-cookies/" TargetMode="External" Id="rId137"/><Relationship Type="http://schemas.openxmlformats.org/officeDocument/2006/relationships/hyperlink" Target="https://leetcode.com/problems/jump-game/" TargetMode="External" Id="rId138"/><Relationship Type="http://schemas.openxmlformats.org/officeDocument/2006/relationships/hyperlink" Target="https://leetcode.com/problems/jump-game-ii/" TargetMode="External" Id="rId139"/><Relationship Type="http://schemas.openxmlformats.org/officeDocument/2006/relationships/hyperlink" Target="https://leetcode.com/problems/gas-station/" TargetMode="External" Id="rId140"/><Relationship Type="http://schemas.openxmlformats.org/officeDocument/2006/relationships/hyperlink" Target="https://leetcode.com/problems/non-overlapping-intervals/" TargetMode="External" Id="rId141"/><Relationship Type="http://schemas.openxmlformats.org/officeDocument/2006/relationships/hyperlink" Target="https://leetcode.com/problems/partition-labels/" TargetMode="External" Id="rId142"/><Relationship Type="http://schemas.openxmlformats.org/officeDocument/2006/relationships/hyperlink" Target="https://www.hackerrank.com/challenges/climbing-the-leaderboard/problem" TargetMode="External" Id="rId143"/><Relationship Type="http://schemas.openxmlformats.org/officeDocument/2006/relationships/hyperlink" Target="https://leetcode.com/problems/flood-fill/" TargetMode="External" Id="rId144"/><Relationship Type="http://schemas.openxmlformats.org/officeDocument/2006/relationships/hyperlink" Target="https://leetcode.com/problems/find-if-path-exists-in-graph/" TargetMode="External" Id="rId145"/><Relationship Type="http://schemas.openxmlformats.org/officeDocument/2006/relationships/hyperlink" Target="https://leetcode.com/problems/number-of-islands/" TargetMode="External" Id="rId146"/><Relationship Type="http://schemas.openxmlformats.org/officeDocument/2006/relationships/hyperlink" Target="https://leetcode.com/problems/max-area-of-island/" TargetMode="External" Id="rId147"/><Relationship Type="http://schemas.openxmlformats.org/officeDocument/2006/relationships/hyperlink" Target="https://leetcode.com/problems/number-of-provinces/" TargetMode="External" Id="rId148"/><Relationship Type="http://schemas.openxmlformats.org/officeDocument/2006/relationships/hyperlink" Target="https://leetcode.com/problems/clone-graph/" TargetMode="External" Id="rId149"/><Relationship Type="http://schemas.openxmlformats.org/officeDocument/2006/relationships/hyperlink" Target="https://leetcode.com/problems/rotting-oranges/" TargetMode="External" Id="rId150"/><Relationship Type="http://schemas.openxmlformats.org/officeDocument/2006/relationships/hyperlink" Target="https://leetcode.com/problems/pacific-atlantic-water-flow/" TargetMode="External" Id="rId151"/><Relationship Type="http://schemas.openxmlformats.org/officeDocument/2006/relationships/hyperlink" Target="https://leetcode.com/problems/surrounded-regions/" TargetMode="External" Id="rId152"/><Relationship Type="http://schemas.openxmlformats.org/officeDocument/2006/relationships/hyperlink" Target="https://leetcode.com/problems/course-schedule/" TargetMode="External" Id="rId153"/><Relationship Type="http://schemas.openxmlformats.org/officeDocument/2006/relationships/hyperlink" Target="https://leetcode.com/problems/course-schedule-ii/" TargetMode="External" Id="rId154"/><Relationship Type="http://schemas.openxmlformats.org/officeDocument/2006/relationships/hyperlink" Target="https://leetcode.com/problems/is-graph-bipartite/" TargetMode="External" Id="rId155"/><Relationship Type="http://schemas.openxmlformats.org/officeDocument/2006/relationships/hyperlink" Target="https://leetcode.com/problems/word-ladder/" TargetMode="External" Id="rId156"/><Relationship Type="http://schemas.openxmlformats.org/officeDocument/2006/relationships/hyperlink" Target="https://leetcode.com/problems/network-delay-time/" TargetMode="External" Id="rId157"/><Relationship Type="http://schemas.openxmlformats.org/officeDocument/2006/relationships/hyperlink" Target="https://leetcode.com/problems/cheapest-flights-within-k-stops/" TargetMode="External" Id="rId158"/><Relationship Type="http://schemas.openxmlformats.org/officeDocument/2006/relationships/hyperlink" Target="https://www.hackerrank.com/challenges/torque-and-development/problem" TargetMode="External" Id="rId159"/><Relationship Type="http://schemas.openxmlformats.org/officeDocument/2006/relationships/hyperlink" Target="https://leetcode.com/problems/climbing-stairs/" TargetMode="External" Id="rId160"/><Relationship Type="http://schemas.openxmlformats.org/officeDocument/2006/relationships/hyperlink" Target="https://leetcode.com/problems/min-cost-climbing-stairs/" TargetMode="External" Id="rId161"/><Relationship Type="http://schemas.openxmlformats.org/officeDocument/2006/relationships/hyperlink" Target="https://leetcode.com/problems/house-robber/" TargetMode="External" Id="rId162"/><Relationship Type="http://schemas.openxmlformats.org/officeDocument/2006/relationships/hyperlink" Target="https://leetcode.com/problems/house-robber-ii/" TargetMode="External" Id="rId163"/><Relationship Type="http://schemas.openxmlformats.org/officeDocument/2006/relationships/hyperlink" Target="https://leetcode.com/problems/coin-change/" TargetMode="External" Id="rId164"/><Relationship Type="http://schemas.openxmlformats.org/officeDocument/2006/relationships/hyperlink" Target="https://leetcode.com/problems/longest-increasing-subsequence/" TargetMode="External" Id="rId165"/><Relationship Type="http://schemas.openxmlformats.org/officeDocument/2006/relationships/hyperlink" Target="https://leetcode.com/problems/unique-paths/" TargetMode="External" Id="rId166"/><Relationship Type="http://schemas.openxmlformats.org/officeDocument/2006/relationships/hyperlink" Target="https://leetcode.com/problems/minimum-path-sum/" TargetMode="External" Id="rId167"/><Relationship Type="http://schemas.openxmlformats.org/officeDocument/2006/relationships/hyperlink" Target="https://leetcode.com/problems/decode-ways/" TargetMode="External" Id="rId168"/><Relationship Type="http://schemas.openxmlformats.org/officeDocument/2006/relationships/hyperlink" Target="https://leetcode.com/problems/word-break/" TargetMode="External" Id="rId169"/><Relationship Type="http://schemas.openxmlformats.org/officeDocument/2006/relationships/hyperlink" Target="https://leetcode.com/problems/maximum-product-subarray/" TargetMode="External" Id="rId170"/><Relationship Type="http://schemas.openxmlformats.org/officeDocument/2006/relationships/hyperlink" Target="https://leetcode.com/problems/longest-common-subsequence/" TargetMode="External" Id="rId171"/><Relationship Type="http://schemas.openxmlformats.org/officeDocument/2006/relationships/hyperlink" Target="https://leetcode.com/problems/partition-equal-subset-sum/" TargetMode="External" Id="rId172"/><Relationship Type="http://schemas.openxmlformats.org/officeDocument/2006/relationships/hyperlink" Target="https://leetcode.com/problems/target-sum/" TargetMode="External" Id="rId173"/><Relationship Type="http://schemas.openxmlformats.org/officeDocument/2006/relationships/hyperlink" Target="https://leetcode.com/problems/longest-palindromic-substring/" TargetMode="External" Id="rId174"/><Relationship Type="http://schemas.openxmlformats.org/officeDocument/2006/relationships/hyperlink" Target="https://leetcode.com/problems/palindromic-substrings/" TargetMode="External" Id="rId175"/><Relationship Type="http://schemas.openxmlformats.org/officeDocument/2006/relationships/hyperlink" Target="https://leetcode.com/problems/edit-distance/" TargetMode="External" Id="rId176"/><Relationship Type="http://schemas.openxmlformats.org/officeDocument/2006/relationships/hyperlink" Target="https://leetcode.com/problems/implement-trie-prefix-tree/" TargetMode="External" Id="rId177"/><Relationship Type="http://schemas.openxmlformats.org/officeDocument/2006/relationships/hyperlink" Target="https://leetcode.com/problems/design-add-and-search-words-data-structure/" TargetMode="External" Id="rId178"/><Relationship Type="http://schemas.openxmlformats.org/officeDocument/2006/relationships/hyperlink" Target="https://leetcode.com/problems/word-search-ii/" TargetMode="External" Id="rId1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DSA progress dashboard (unique problems only)</t>
        </is>
      </c>
    </row>
    <row r="2" ht="32" customHeight="1">
      <c r="A2" s="2" t="inlineStr">
        <is>
          <t>Counts come only from the Tracker sheet. A problem counts once, when its status is solved (any of the 3 solved kinds) and its key has not already been counted.</t>
        </is>
      </c>
    </row>
    <row r="4">
      <c r="A4" s="3" t="inlineStr">
        <is>
          <t>Overall</t>
        </is>
      </c>
      <c r="B4" s="3" t="inlineStr">
        <is>
          <t>Count</t>
        </is>
      </c>
    </row>
    <row r="5">
      <c r="A5" t="inlineStr">
        <is>
          <t>Unique problems solved (any way)</t>
        </is>
      </c>
      <c r="B5">
        <f>SUM(Tracker!$V$2:$V$300)</f>
        <v/>
      </c>
    </row>
    <row r="6">
      <c r="A6" t="inlineStr">
        <is>
          <t xml:space="preserve">  Solved independently</t>
        </is>
      </c>
      <c r="B6">
        <f>COUNTIFS(Tracker!$V$2:$V$300,1,Tracker!$J$2:$J$300,"Solved independently")</f>
        <v/>
      </c>
    </row>
    <row r="7">
      <c r="A7" t="inlineStr">
        <is>
          <t xml:space="preserve">  Solved with hints</t>
        </is>
      </c>
      <c r="B7">
        <f>COUNTIFS(Tracker!$V$2:$V$300,1,Tracker!$J$2:$J$300,"Solved with hints")</f>
        <v/>
      </c>
    </row>
    <row r="8">
      <c r="A8" t="inlineStr">
        <is>
          <t xml:space="preserve">  Solved after viewing solution</t>
        </is>
      </c>
      <c r="B8">
        <f>COUNTIFS(Tracker!$V$2:$V$300,1,Tracker!$J$2:$J$300,"Solved after viewing solution")</f>
        <v/>
      </c>
    </row>
    <row r="9">
      <c r="A9" t="inlineStr">
        <is>
          <t>Attempted but not solved</t>
        </is>
      </c>
      <c r="B9">
        <f>COUNTIF(Tracker!$J$2:$J$300,"Attempted")</f>
        <v/>
      </c>
    </row>
    <row r="10">
      <c r="A10" t="inlineStr">
        <is>
          <t>Independence rate</t>
        </is>
      </c>
      <c r="B10" s="4">
        <f>IF(B5=0,0,B6/B5)</f>
        <v/>
      </c>
    </row>
    <row r="11">
      <c r="A11" t="inlineStr">
        <is>
          <t>Revisions overdue</t>
        </is>
      </c>
      <c r="B11">
        <f>COUNTIFS(Tracker!$S$2:$S$300,"&lt;="&amp;TODAY(),Tracker!$S$2:$S$300,"&lt;&gt;")</f>
        <v/>
      </c>
    </row>
    <row r="12">
      <c r="A12" t="inlineStr">
        <is>
          <t>Rows with duplicate keys (fix these)</t>
        </is>
      </c>
      <c r="B12">
        <f>COUNTIF(Tracker!$W$2:$W$300,"DUPLICATE KEY")</f>
        <v/>
      </c>
    </row>
    <row r="14">
      <c r="A14" s="3" t="inlineStr">
        <is>
          <t>By platform (unique solves)</t>
        </is>
      </c>
      <c r="B14" s="3" t="inlineStr">
        <is>
          <t>Solved</t>
        </is>
      </c>
      <c r="C14" s="3" t="inlineStr">
        <is>
          <t>Independent</t>
        </is>
      </c>
    </row>
    <row r="15">
      <c r="A15" t="inlineStr">
        <is>
          <t>LeetCode</t>
        </is>
      </c>
      <c r="B15">
        <f>SUMIFS(Tracker!$V$2:$V$300,Tracker!$C$2:$C$300,"LeetCode")</f>
        <v/>
      </c>
      <c r="C15">
        <f>COUNTIFS(Tracker!$V$2:$V$300,1,Tracker!$C$2:$C$300,"LeetCode",Tracker!$J$2:$J$300,"Solved independently")</f>
        <v/>
      </c>
    </row>
    <row r="16">
      <c r="A16" t="inlineStr">
        <is>
          <t>HackerRank</t>
        </is>
      </c>
      <c r="B16">
        <f>SUMIFS(Tracker!$V$2:$V$300,Tracker!$C$2:$C$300,"HackerRank")</f>
        <v/>
      </c>
      <c r="C16">
        <f>COUNTIFS(Tracker!$V$2:$V$300,1,Tracker!$C$2:$C$300,"HackerRank",Tracker!$J$2:$J$300,"Solved independently")</f>
        <v/>
      </c>
    </row>
    <row r="17">
      <c r="A17" t="inlineStr">
        <is>
          <t>GeeksforGeeks</t>
        </is>
      </c>
      <c r="B17">
        <f>SUMIFS(Tracker!$V$2:$V$300,Tracker!$C$2:$C$300,"GeeksforGeeks")</f>
        <v/>
      </c>
      <c r="C17">
        <f>COUNTIFS(Tracker!$V$2:$V$300,1,Tracker!$C$2:$C$300,"GeeksforGeeks",Tracker!$J$2:$J$300,"Solved independently")</f>
        <v/>
      </c>
    </row>
    <row r="18">
      <c r="A18" t="inlineStr">
        <is>
          <t>CodeChef</t>
        </is>
      </c>
      <c r="B18">
        <f>SUMIFS(Tracker!$V$2:$V$300,Tracker!$C$2:$C$300,"CodeChef")</f>
        <v/>
      </c>
      <c r="C18">
        <f>COUNTIFS(Tracker!$V$2:$V$300,1,Tracker!$C$2:$C$300,"CodeChef",Tracker!$J$2:$J$300,"Solved independently")</f>
        <v/>
      </c>
    </row>
    <row r="19">
      <c r="A19" t="inlineStr">
        <is>
          <t>Other</t>
        </is>
      </c>
      <c r="B19">
        <f>SUMIFS(Tracker!$V$2:$V$300,Tracker!$C$2:$C$300,"Other")</f>
        <v/>
      </c>
      <c r="C19">
        <f>COUNTIFS(Tracker!$V$2:$V$300,1,Tracker!$C$2:$C$300,"Other",Tracker!$J$2:$J$300,"Solved independently")</f>
        <v/>
      </c>
    </row>
    <row r="21">
      <c r="A21" s="3" t="inlineStr">
        <is>
          <t>By difficulty (unique solves)</t>
        </is>
      </c>
      <c r="B21" s="3" t="inlineStr">
        <is>
          <t>Solved</t>
        </is>
      </c>
      <c r="C21" s="3" t="inlineStr">
        <is>
          <t>Independent</t>
        </is>
      </c>
    </row>
    <row r="22">
      <c r="A22" t="inlineStr">
        <is>
          <t>Easy</t>
        </is>
      </c>
      <c r="B22">
        <f>SUMIFS(Tracker!$V$2:$V$300,Tracker!$F$2:$F$300,"Easy")</f>
        <v/>
      </c>
      <c r="C22">
        <f>COUNTIFS(Tracker!$V$2:$V$300,1,Tracker!$F$2:$F$300,"Easy",Tracker!$J$2:$J$300,"Solved independently")</f>
        <v/>
      </c>
    </row>
    <row r="23">
      <c r="A23" t="inlineStr">
        <is>
          <t>Medium</t>
        </is>
      </c>
      <c r="B23">
        <f>SUMIFS(Tracker!$V$2:$V$300,Tracker!$F$2:$F$300,"Medium")</f>
        <v/>
      </c>
      <c r="C23">
        <f>COUNTIFS(Tracker!$V$2:$V$300,1,Tracker!$F$2:$F$300,"Medium",Tracker!$J$2:$J$300,"Solved independently")</f>
        <v/>
      </c>
    </row>
    <row r="24">
      <c r="A24" t="inlineStr">
        <is>
          <t>Hard</t>
        </is>
      </c>
      <c r="B24">
        <f>SUMIFS(Tracker!$V$2:$V$300,Tracker!$F$2:$F$300,"Hard")</f>
        <v/>
      </c>
      <c r="C24">
        <f>COUNTIFS(Tracker!$V$2:$V$300,1,Tracker!$F$2:$F$300,"Hard",Tracker!$J$2:$J$300,"Solved independently")</f>
        <v/>
      </c>
    </row>
    <row r="26">
      <c r="A26" s="3" t="inlineStr">
        <is>
          <t>By topic (unique solves)</t>
        </is>
      </c>
      <c r="B26" s="3" t="inlineStr">
        <is>
          <t>Solved</t>
        </is>
      </c>
      <c r="C26" s="3" t="inlineStr">
        <is>
          <t>Listed</t>
        </is>
      </c>
      <c r="D26" s="3" t="inlineStr">
        <is>
          <t>Independent</t>
        </is>
      </c>
    </row>
    <row r="27">
      <c r="A27" t="inlineStr">
        <is>
          <t>Programming fundamentals &amp; Big-O</t>
        </is>
      </c>
      <c r="B27">
        <f>SUMIFS(Tracker!$V$2:$V$300,Tracker!$E$2:$E$300,A27)</f>
        <v/>
      </c>
      <c r="C27">
        <f>COUNTIF(Tracker!$E$2:$E$300,A27)</f>
        <v/>
      </c>
      <c r="D27">
        <f>COUNTIFS(Tracker!$V$2:$V$300,1,Tracker!$E$2:$E$300,A27,Tracker!$J$2:$J$300,"Solved independently")</f>
        <v/>
      </c>
    </row>
    <row r="28">
      <c r="A28" t="inlineStr">
        <is>
          <t>Arrays &amp; strings</t>
        </is>
      </c>
      <c r="B28">
        <f>SUMIFS(Tracker!$V$2:$V$300,Tracker!$E$2:$E$300,A28)</f>
        <v/>
      </c>
      <c r="C28">
        <f>COUNTIF(Tracker!$E$2:$E$300,A28)</f>
        <v/>
      </c>
      <c r="D28">
        <f>COUNTIFS(Tracker!$V$2:$V$300,1,Tracker!$E$2:$E$300,A28,Tracker!$J$2:$J$300,"Solved independently")</f>
        <v/>
      </c>
    </row>
    <row r="29">
      <c r="A29" t="inlineStr">
        <is>
          <t>Hashing &amp; frequency counting</t>
        </is>
      </c>
      <c r="B29">
        <f>SUMIFS(Tracker!$V$2:$V$300,Tracker!$E$2:$E$300,A29)</f>
        <v/>
      </c>
      <c r="C29">
        <f>COUNTIF(Tracker!$E$2:$E$300,A29)</f>
        <v/>
      </c>
      <c r="D29">
        <f>COUNTIFS(Tracker!$V$2:$V$300,1,Tracker!$E$2:$E$300,A29,Tracker!$J$2:$J$300,"Solved independently")</f>
        <v/>
      </c>
    </row>
    <row r="30">
      <c r="A30" t="inlineStr">
        <is>
          <t>Two pointers</t>
        </is>
      </c>
      <c r="B30">
        <f>SUMIFS(Tracker!$V$2:$V$300,Tracker!$E$2:$E$300,A30)</f>
        <v/>
      </c>
      <c r="C30">
        <f>COUNTIF(Tracker!$E$2:$E$300,A30)</f>
        <v/>
      </c>
      <c r="D30">
        <f>COUNTIFS(Tracker!$V$2:$V$300,1,Tracker!$E$2:$E$300,A30,Tracker!$J$2:$J$300,"Solved independently")</f>
        <v/>
      </c>
    </row>
    <row r="31">
      <c r="A31" t="inlineStr">
        <is>
          <t>Sliding window</t>
        </is>
      </c>
      <c r="B31">
        <f>SUMIFS(Tracker!$V$2:$V$300,Tracker!$E$2:$E$300,A31)</f>
        <v/>
      </c>
      <c r="C31">
        <f>COUNTIF(Tracker!$E$2:$E$300,A31)</f>
        <v/>
      </c>
      <c r="D31">
        <f>COUNTIFS(Tracker!$V$2:$V$300,1,Tracker!$E$2:$E$300,A31,Tracker!$J$2:$J$300,"Solved independently")</f>
        <v/>
      </c>
    </row>
    <row r="32">
      <c r="A32" t="inlineStr">
        <is>
          <t>Sorting &amp; binary search</t>
        </is>
      </c>
      <c r="B32">
        <f>SUMIFS(Tracker!$V$2:$V$300,Tracker!$E$2:$E$300,A32)</f>
        <v/>
      </c>
      <c r="C32">
        <f>COUNTIF(Tracker!$E$2:$E$300,A32)</f>
        <v/>
      </c>
      <c r="D32">
        <f>COUNTIFS(Tracker!$V$2:$V$300,1,Tracker!$E$2:$E$300,A32,Tracker!$J$2:$J$300,"Solved independently")</f>
        <v/>
      </c>
    </row>
    <row r="33">
      <c r="A33" t="inlineStr">
        <is>
          <t>Prefix sums, math &amp; matrices</t>
        </is>
      </c>
      <c r="B33">
        <f>SUMIFS(Tracker!$V$2:$V$300,Tracker!$E$2:$E$300,A33)</f>
        <v/>
      </c>
      <c r="C33">
        <f>COUNTIF(Tracker!$E$2:$E$300,A33)</f>
        <v/>
      </c>
      <c r="D33">
        <f>COUNTIFS(Tracker!$V$2:$V$300,1,Tracker!$E$2:$E$300,A33,Tracker!$J$2:$J$300,"Solved independently")</f>
        <v/>
      </c>
    </row>
    <row r="34">
      <c r="A34" t="inlineStr">
        <is>
          <t>Bit manipulation</t>
        </is>
      </c>
      <c r="B34">
        <f>SUMIFS(Tracker!$V$2:$V$300,Tracker!$E$2:$E$300,A34)</f>
        <v/>
      </c>
      <c r="C34">
        <f>COUNTIF(Tracker!$E$2:$E$300,A34)</f>
        <v/>
      </c>
      <c r="D34">
        <f>COUNTIFS(Tracker!$V$2:$V$300,1,Tracker!$E$2:$E$300,A34,Tracker!$J$2:$J$300,"Solved independently")</f>
        <v/>
      </c>
    </row>
    <row r="35">
      <c r="A35" t="inlineStr">
        <is>
          <t>Recursion &amp; backtracking</t>
        </is>
      </c>
      <c r="B35">
        <f>SUMIFS(Tracker!$V$2:$V$300,Tracker!$E$2:$E$300,A35)</f>
        <v/>
      </c>
      <c r="C35">
        <f>COUNTIF(Tracker!$E$2:$E$300,A35)</f>
        <v/>
      </c>
      <c r="D35">
        <f>COUNTIFS(Tracker!$V$2:$V$300,1,Tracker!$E$2:$E$300,A35,Tracker!$J$2:$J$300,"Solved independently")</f>
        <v/>
      </c>
    </row>
    <row r="36">
      <c r="A36" t="inlineStr">
        <is>
          <t>Linked lists</t>
        </is>
      </c>
      <c r="B36">
        <f>SUMIFS(Tracker!$V$2:$V$300,Tracker!$E$2:$E$300,A36)</f>
        <v/>
      </c>
      <c r="C36">
        <f>COUNTIF(Tracker!$E$2:$E$300,A36)</f>
        <v/>
      </c>
      <c r="D36">
        <f>COUNTIFS(Tracker!$V$2:$V$300,1,Tracker!$E$2:$E$300,A36,Tracker!$J$2:$J$300,"Solved independently")</f>
        <v/>
      </c>
    </row>
    <row r="37">
      <c r="A37" t="inlineStr">
        <is>
          <t>Stacks &amp; queues</t>
        </is>
      </c>
      <c r="B37">
        <f>SUMIFS(Tracker!$V$2:$V$300,Tracker!$E$2:$E$300,A37)</f>
        <v/>
      </c>
      <c r="C37">
        <f>COUNTIF(Tracker!$E$2:$E$300,A37)</f>
        <v/>
      </c>
      <c r="D37">
        <f>COUNTIFS(Tracker!$V$2:$V$300,1,Tracker!$E$2:$E$300,A37,Tracker!$J$2:$J$300,"Solved independently")</f>
        <v/>
      </c>
    </row>
    <row r="38">
      <c r="A38" t="inlineStr">
        <is>
          <t>Trees &amp; binary search trees</t>
        </is>
      </c>
      <c r="B38">
        <f>SUMIFS(Tracker!$V$2:$V$300,Tracker!$E$2:$E$300,A38)</f>
        <v/>
      </c>
      <c r="C38">
        <f>COUNTIF(Tracker!$E$2:$E$300,A38)</f>
        <v/>
      </c>
      <c r="D38">
        <f>COUNTIFS(Tracker!$V$2:$V$300,1,Tracker!$E$2:$E$300,A38,Tracker!$J$2:$J$300,"Solved independently")</f>
        <v/>
      </c>
    </row>
    <row r="39">
      <c r="A39" t="inlineStr">
        <is>
          <t>Heaps &amp; priority queues</t>
        </is>
      </c>
      <c r="B39">
        <f>SUMIFS(Tracker!$V$2:$V$300,Tracker!$E$2:$E$300,A39)</f>
        <v/>
      </c>
      <c r="C39">
        <f>COUNTIF(Tracker!$E$2:$E$300,A39)</f>
        <v/>
      </c>
      <c r="D39">
        <f>COUNTIFS(Tracker!$V$2:$V$300,1,Tracker!$E$2:$E$300,A39,Tracker!$J$2:$J$300,"Solved independently")</f>
        <v/>
      </c>
    </row>
    <row r="40">
      <c r="A40" t="inlineStr">
        <is>
          <t>Greedy algorithms &amp; intervals</t>
        </is>
      </c>
      <c r="B40">
        <f>SUMIFS(Tracker!$V$2:$V$300,Tracker!$E$2:$E$300,A40)</f>
        <v/>
      </c>
      <c r="C40">
        <f>COUNTIF(Tracker!$E$2:$E$300,A40)</f>
        <v/>
      </c>
      <c r="D40">
        <f>COUNTIFS(Tracker!$V$2:$V$300,1,Tracker!$E$2:$E$300,A40,Tracker!$J$2:$J$300,"Solved independently")</f>
        <v/>
      </c>
    </row>
    <row r="41">
      <c r="A41" t="inlineStr">
        <is>
          <t>Graphs: BFS, DFS &amp; shortest paths</t>
        </is>
      </c>
      <c r="B41">
        <f>SUMIFS(Tracker!$V$2:$V$300,Tracker!$E$2:$E$300,A41)</f>
        <v/>
      </c>
      <c r="C41">
        <f>COUNTIF(Tracker!$E$2:$E$300,A41)</f>
        <v/>
      </c>
      <c r="D41">
        <f>COUNTIFS(Tracker!$V$2:$V$300,1,Tracker!$E$2:$E$300,A41,Tracker!$J$2:$J$300,"Solved independently")</f>
        <v/>
      </c>
    </row>
    <row r="42">
      <c r="A42" t="inlineStr">
        <is>
          <t>Dynamic programming</t>
        </is>
      </c>
      <c r="B42">
        <f>SUMIFS(Tracker!$V$2:$V$300,Tracker!$E$2:$E$300,A42)</f>
        <v/>
      </c>
      <c r="C42">
        <f>COUNTIF(Tracker!$E$2:$E$300,A42)</f>
        <v/>
      </c>
      <c r="D42">
        <f>COUNTIFS(Tracker!$V$2:$V$300,1,Tracker!$E$2:$E$300,A42,Tracker!$J$2:$J$300,"Solved independently")</f>
        <v/>
      </c>
    </row>
    <row r="43">
      <c r="A43" t="inlineStr">
        <is>
          <t>Tries &amp; advanced structures</t>
        </is>
      </c>
      <c r="B43">
        <f>SUMIFS(Tracker!$V$2:$V$300,Tracker!$E$2:$E$300,A43)</f>
        <v/>
      </c>
      <c r="C43">
        <f>COUNTIF(Tracker!$E$2:$E$300,A43)</f>
        <v/>
      </c>
      <c r="D43">
        <f>COUNTIFS(Tracker!$V$2:$V$300,1,Tracker!$E$2:$E$300,A43,Tracker!$J$2:$J$300,"Solved independently")</f>
        <v/>
      </c>
    </row>
    <row r="45">
      <c r="A45" s="3" t="inlineStr">
        <is>
          <t>Milestones</t>
        </is>
      </c>
      <c r="B45" s="3" t="inlineStr">
        <is>
          <t>Target</t>
        </is>
      </c>
      <c r="C45" s="3" t="inlineStr">
        <is>
          <t>Reached?</t>
        </is>
      </c>
    </row>
    <row r="46">
      <c r="A46" t="inlineStr">
        <is>
          <t>Milestone: 25 unique solved</t>
        </is>
      </c>
      <c r="B46" t="n">
        <v>25</v>
      </c>
      <c r="C46">
        <f>IF(B5&gt;=25,"Yes","Not yet")</f>
        <v/>
      </c>
    </row>
    <row r="47">
      <c r="A47" t="inlineStr">
        <is>
          <t>Milestone: 50 unique solved</t>
        </is>
      </c>
      <c r="B47" t="n">
        <v>50</v>
      </c>
      <c r="C47">
        <f>IF(B5&gt;=50,"Yes","Not yet")</f>
        <v/>
      </c>
    </row>
    <row r="48">
      <c r="A48" t="inlineStr">
        <is>
          <t>Milestone: 100 unique solved</t>
        </is>
      </c>
      <c r="B48" t="n">
        <v>100</v>
      </c>
      <c r="C48">
        <f>IF(B5&gt;=100,"Yes","Not yet")</f>
        <v/>
      </c>
    </row>
    <row r="49">
      <c r="A49" t="inlineStr">
        <is>
          <t>Milestone: 150 unique solved</t>
        </is>
      </c>
      <c r="B49" t="n">
        <v>150</v>
      </c>
      <c r="C49">
        <f>IF(B5&gt;=150,"Yes","Not yet")</f>
        <v/>
      </c>
    </row>
    <row r="50">
      <c r="A50" t="inlineStr">
        <is>
          <t>Milestone: 200 unique solved</t>
        </is>
      </c>
      <c r="B50" t="n">
        <v>200</v>
      </c>
      <c r="C50">
        <f>IF(B5&gt;=200,"Yes","Not yet")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14" customWidth="1" min="4" max="4"/>
    <col width="26" customWidth="1" min="5" max="5"/>
    <col width="10" customWidth="1" min="6" max="6"/>
    <col width="12" customWidth="1" min="7" max="7"/>
    <col width="6" customWidth="1" min="8" max="8"/>
    <col width="14" customWidth="1" min="9" max="9"/>
    <col width="28" customWidth="1" min="10" max="10"/>
    <col width="12" customWidth="1" min="11" max="11"/>
    <col width="9" customWidth="1" min="12" max="12"/>
    <col width="10" customWidth="1" min="13" max="13"/>
    <col width="14" customWidth="1" min="14" max="14"/>
    <col width="14" customWidth="1" min="15" max="15"/>
    <col width="44" customWidth="1" min="16" max="16"/>
    <col width="13" customWidth="1" min="17" max="17"/>
    <col width="12" customWidth="1" min="18" max="18"/>
    <col width="13" customWidth="1" min="19" max="19"/>
    <col width="10" customWidth="1" min="20" max="20"/>
    <col width="34" customWidth="1" min="21" max="21"/>
    <col width="12" customWidth="1" min="22" max="22"/>
    <col width="14" customWidth="1" min="23" max="23"/>
  </cols>
  <sheetData>
    <row r="1" ht="48" customHeight="1">
      <c r="A1" s="5" t="inlineStr">
        <is>
          <t>#</t>
        </is>
      </c>
      <c r="B1" s="5" t="inlineStr">
        <is>
          <t>Problem title</t>
        </is>
      </c>
      <c r="C1" s="5" t="inlineStr">
        <is>
          <t>Platform</t>
        </is>
      </c>
      <c r="D1" s="5" t="inlineStr">
        <is>
          <t>Problem URL</t>
        </is>
      </c>
      <c r="E1" s="5" t="inlineStr">
        <is>
          <t>Topic</t>
        </is>
      </c>
      <c r="F1" s="5" t="inlineStr">
        <is>
          <t>Difficulty</t>
        </is>
      </c>
      <c r="G1" s="5" t="inlineStr">
        <is>
          <t>Priority</t>
        </is>
      </c>
      <c r="H1" s="5" t="inlineStr">
        <is>
          <t>Week</t>
        </is>
      </c>
      <c r="I1" s="5" t="inlineStr">
        <is>
          <t>Date first attempted</t>
        </is>
      </c>
      <c r="J1" s="5" t="inlineStr">
        <is>
          <t>Status</t>
        </is>
      </c>
      <c r="K1" s="5" t="inlineStr">
        <is>
          <t>Solved independently?</t>
        </is>
      </c>
      <c r="L1" s="5" t="inlineStr">
        <is>
          <t>Attempts</t>
        </is>
      </c>
      <c r="M1" s="5" t="inlineStr">
        <is>
          <t>Time taken (min)</t>
        </is>
      </c>
      <c r="N1" s="5" t="inlineStr">
        <is>
          <t>Time complexity</t>
        </is>
      </c>
      <c r="O1" s="5" t="inlineStr">
        <is>
          <t>Space complexity</t>
        </is>
      </c>
      <c r="P1" s="5" t="inlineStr">
        <is>
          <t>Key lesson learned</t>
        </is>
      </c>
      <c r="Q1" s="5" t="inlineStr">
        <is>
          <t>Accepted on platform? (Y/N)</t>
        </is>
      </c>
      <c r="R1" s="5" t="inlineStr">
        <is>
          <t>Date solved</t>
        </is>
      </c>
      <c r="S1" s="5" t="inlineStr">
        <is>
          <t>Next revision due</t>
        </is>
      </c>
      <c r="T1" s="5" t="inlineStr">
        <is>
          <t>Revisions done</t>
        </is>
      </c>
      <c r="U1" s="5" t="inlineStr">
        <is>
          <t>Problem key (edit to match same problem across platforms)</t>
        </is>
      </c>
      <c r="V1" s="5" t="inlineStr">
        <is>
          <t>Counts as unique solve (auto)</t>
        </is>
      </c>
      <c r="W1" s="5" t="inlineStr">
        <is>
          <t>Duplicate warning (auto)</t>
        </is>
      </c>
    </row>
    <row r="2">
      <c r="A2" s="6" t="n">
        <v>1</v>
      </c>
      <c r="B2" s="6" t="inlineStr">
        <is>
          <t>Solve Me First</t>
        </is>
      </c>
      <c r="C2" s="6" t="inlineStr">
        <is>
          <t>HackerRank</t>
        </is>
      </c>
      <c r="D2" s="7" t="inlineStr">
        <is>
          <t>Open</t>
        </is>
      </c>
      <c r="E2" s="6" t="inlineStr">
        <is>
          <t>Programming fundamentals &amp; Big-O</t>
        </is>
      </c>
      <c r="F2" s="6" t="inlineStr">
        <is>
          <t>Easy</t>
        </is>
      </c>
      <c r="G2" s="6" t="inlineStr">
        <is>
          <t>Essential</t>
        </is>
      </c>
      <c r="H2" s="6" t="n">
        <v>1</v>
      </c>
      <c r="I2" s="8" t="n"/>
      <c r="J2" s="9" t="inlineStr">
        <is>
          <t>Not started</t>
        </is>
      </c>
      <c r="K2" s="6">
        <f>IF(J2="Solved independently","Yes",IF(OR(J2="",J2="Not started"),"","No"))</f>
        <v/>
      </c>
      <c r="L2" s="9" t="n"/>
      <c r="M2" s="9" t="n"/>
      <c r="N2" s="9" t="n"/>
      <c r="O2" s="9" t="n"/>
      <c r="P2" s="10" t="n"/>
      <c r="Q2" s="9" t="n"/>
      <c r="R2" s="8" t="n"/>
      <c r="S2" s="11">
        <f>IF(R2="","",R2+IF(T2=0,3,IF(T2=1,7,IF(T2=2,21,45))))</f>
        <v/>
      </c>
      <c r="T2" s="9" t="n"/>
      <c r="U2" s="6">
        <f>IF(B2="","",LOWER(TRIM(B2)))</f>
        <v/>
      </c>
      <c r="V2" s="6">
        <f>IF(AND(U2&lt;&gt;"",OR(J2="Solved independently",J2="Solved with hints",J2="Solved after viewing solution")),1,0)</f>
        <v/>
      </c>
      <c r="W2" s="6">
        <f>IF(AND(U2&lt;&gt;"",COUNTIF($U$2:$U$300,U2)&gt;1),"DUPLICATE KEY","")</f>
        <v/>
      </c>
    </row>
    <row r="3">
      <c r="A3" s="6" t="n">
        <v>2</v>
      </c>
      <c r="B3" s="6" t="inlineStr">
        <is>
          <t>Simple Array Sum</t>
        </is>
      </c>
      <c r="C3" s="6" t="inlineStr">
        <is>
          <t>HackerRank</t>
        </is>
      </c>
      <c r="D3" s="7" t="inlineStr">
        <is>
          <t>Open</t>
        </is>
      </c>
      <c r="E3" s="6" t="inlineStr">
        <is>
          <t>Programming fundamentals &amp; Big-O</t>
        </is>
      </c>
      <c r="F3" s="6" t="inlineStr">
        <is>
          <t>Easy</t>
        </is>
      </c>
      <c r="G3" s="6" t="inlineStr">
        <is>
          <t>Essential</t>
        </is>
      </c>
      <c r="H3" s="6" t="n">
        <v>1</v>
      </c>
      <c r="I3" s="8" t="n"/>
      <c r="J3" s="9" t="inlineStr">
        <is>
          <t>Not started</t>
        </is>
      </c>
      <c r="K3" s="6">
        <f>IF(J3="Solved independently","Yes",IF(OR(J3="",J3="Not started"),"","No"))</f>
        <v/>
      </c>
      <c r="L3" s="9" t="n"/>
      <c r="M3" s="9" t="n"/>
      <c r="N3" s="9" t="n"/>
      <c r="O3" s="9" t="n"/>
      <c r="P3" s="10" t="n"/>
      <c r="Q3" s="9" t="n"/>
      <c r="R3" s="8" t="n"/>
      <c r="S3" s="11">
        <f>IF(R3="","",R3+IF(T3=0,3,IF(T3=1,7,IF(T3=2,21,45))))</f>
        <v/>
      </c>
      <c r="T3" s="9" t="n"/>
      <c r="U3" s="6">
        <f>IF(B3="","",LOWER(TRIM(B3)))</f>
        <v/>
      </c>
      <c r="V3" s="6">
        <f>IF(AND(U3&lt;&gt;"",OR(J3="Solved independently",J3="Solved with hints",J3="Solved after viewing solution"),COUNTIFS($U$2:U2,U3,$V$2:V2,1)=0),1,0)</f>
        <v/>
      </c>
      <c r="W3" s="6">
        <f>IF(AND(U3&lt;&gt;"",COUNTIF($U$2:$U$300,U3)&gt;1),"DUPLICATE KEY","")</f>
        <v/>
      </c>
    </row>
    <row r="4">
      <c r="A4" s="6" t="n">
        <v>3</v>
      </c>
      <c r="B4" s="6" t="inlineStr">
        <is>
          <t>Compare the Triplets</t>
        </is>
      </c>
      <c r="C4" s="6" t="inlineStr">
        <is>
          <t>HackerRank</t>
        </is>
      </c>
      <c r="D4" s="7" t="inlineStr">
        <is>
          <t>Open</t>
        </is>
      </c>
      <c r="E4" s="6" t="inlineStr">
        <is>
          <t>Programming fundamentals &amp; Big-O</t>
        </is>
      </c>
      <c r="F4" s="6" t="inlineStr">
        <is>
          <t>Easy</t>
        </is>
      </c>
      <c r="G4" s="6" t="inlineStr">
        <is>
          <t>Recommended</t>
        </is>
      </c>
      <c r="H4" s="6" t="n">
        <v>1</v>
      </c>
      <c r="I4" s="8" t="n"/>
      <c r="J4" s="9" t="inlineStr">
        <is>
          <t>Not started</t>
        </is>
      </c>
      <c r="K4" s="6">
        <f>IF(J4="Solved independently","Yes",IF(OR(J4="",J4="Not started"),"","No"))</f>
        <v/>
      </c>
      <c r="L4" s="9" t="n"/>
      <c r="M4" s="9" t="n"/>
      <c r="N4" s="9" t="n"/>
      <c r="O4" s="9" t="n"/>
      <c r="P4" s="10" t="n"/>
      <c r="Q4" s="9" t="n"/>
      <c r="R4" s="8" t="n"/>
      <c r="S4" s="11">
        <f>IF(R4="","",R4+IF(T4=0,3,IF(T4=1,7,IF(T4=2,21,45))))</f>
        <v/>
      </c>
      <c r="T4" s="9" t="n"/>
      <c r="U4" s="6">
        <f>IF(B4="","",LOWER(TRIM(B4)))</f>
        <v/>
      </c>
      <c r="V4" s="6">
        <f>IF(AND(U4&lt;&gt;"",OR(J4="Solved independently",J4="Solved with hints",J4="Solved after viewing solution"),COUNTIFS($U$2:U3,U4,$V$2:V3,1)=0),1,0)</f>
        <v/>
      </c>
      <c r="W4" s="6">
        <f>IF(AND(U4&lt;&gt;"",COUNTIF($U$2:$U$300,U4)&gt;1),"DUPLICATE KEY","")</f>
        <v/>
      </c>
    </row>
    <row r="5">
      <c r="A5" s="6" t="n">
        <v>4</v>
      </c>
      <c r="B5" s="6" t="inlineStr">
        <is>
          <t>A Very Big Sum</t>
        </is>
      </c>
      <c r="C5" s="6" t="inlineStr">
        <is>
          <t>HackerRank</t>
        </is>
      </c>
      <c r="D5" s="7" t="inlineStr">
        <is>
          <t>Open</t>
        </is>
      </c>
      <c r="E5" s="6" t="inlineStr">
        <is>
          <t>Programming fundamentals &amp; Big-O</t>
        </is>
      </c>
      <c r="F5" s="6" t="inlineStr">
        <is>
          <t>Easy</t>
        </is>
      </c>
      <c r="G5" s="6" t="inlineStr">
        <is>
          <t>Recommended</t>
        </is>
      </c>
      <c r="H5" s="6" t="n">
        <v>1</v>
      </c>
      <c r="I5" s="8" t="n"/>
      <c r="J5" s="9" t="inlineStr">
        <is>
          <t>Not started</t>
        </is>
      </c>
      <c r="K5" s="6">
        <f>IF(J5="Solved independently","Yes",IF(OR(J5="",J5="Not started"),"","No"))</f>
        <v/>
      </c>
      <c r="L5" s="9" t="n"/>
      <c r="M5" s="9" t="n"/>
      <c r="N5" s="9" t="n"/>
      <c r="O5" s="9" t="n"/>
      <c r="P5" s="10" t="n"/>
      <c r="Q5" s="9" t="n"/>
      <c r="R5" s="8" t="n"/>
      <c r="S5" s="11">
        <f>IF(R5="","",R5+IF(T5=0,3,IF(T5=1,7,IF(T5=2,21,45))))</f>
        <v/>
      </c>
      <c r="T5" s="9" t="n"/>
      <c r="U5" s="6">
        <f>IF(B5="","",LOWER(TRIM(B5)))</f>
        <v/>
      </c>
      <c r="V5" s="6">
        <f>IF(AND(U5&lt;&gt;"",OR(J5="Solved independently",J5="Solved with hints",J5="Solved after viewing solution"),COUNTIFS($U$2:U4,U5,$V$2:V4,1)=0),1,0)</f>
        <v/>
      </c>
      <c r="W5" s="6">
        <f>IF(AND(U5&lt;&gt;"",COUNTIF($U$2:$U$300,U5)&gt;1),"DUPLICATE KEY","")</f>
        <v/>
      </c>
    </row>
    <row r="6">
      <c r="A6" s="6" t="n">
        <v>5</v>
      </c>
      <c r="B6" s="6" t="inlineStr">
        <is>
          <t>Diagonal Difference</t>
        </is>
      </c>
      <c r="C6" s="6" t="inlineStr">
        <is>
          <t>HackerRank</t>
        </is>
      </c>
      <c r="D6" s="7" t="inlineStr">
        <is>
          <t>Open</t>
        </is>
      </c>
      <c r="E6" s="6" t="inlineStr">
        <is>
          <t>Programming fundamentals &amp; Big-O</t>
        </is>
      </c>
      <c r="F6" s="6" t="inlineStr">
        <is>
          <t>Easy</t>
        </is>
      </c>
      <c r="G6" s="6" t="inlineStr">
        <is>
          <t>Recommended</t>
        </is>
      </c>
      <c r="H6" s="6" t="n">
        <v>1</v>
      </c>
      <c r="I6" s="8" t="n"/>
      <c r="J6" s="9" t="inlineStr">
        <is>
          <t>Not started</t>
        </is>
      </c>
      <c r="K6" s="6">
        <f>IF(J6="Solved independently","Yes",IF(OR(J6="",J6="Not started"),"","No"))</f>
        <v/>
      </c>
      <c r="L6" s="9" t="n"/>
      <c r="M6" s="9" t="n"/>
      <c r="N6" s="9" t="n"/>
      <c r="O6" s="9" t="n"/>
      <c r="P6" s="10" t="n"/>
      <c r="Q6" s="9" t="n"/>
      <c r="R6" s="8" t="n"/>
      <c r="S6" s="11">
        <f>IF(R6="","",R6+IF(T6=0,3,IF(T6=1,7,IF(T6=2,21,45))))</f>
        <v/>
      </c>
      <c r="T6" s="9" t="n"/>
      <c r="U6" s="6">
        <f>IF(B6="","",LOWER(TRIM(B6)))</f>
        <v/>
      </c>
      <c r="V6" s="6">
        <f>IF(AND(U6&lt;&gt;"",OR(J6="Solved independently",J6="Solved with hints",J6="Solved after viewing solution"),COUNTIFS($U$2:U5,U6,$V$2:V5,1)=0),1,0)</f>
        <v/>
      </c>
      <c r="W6" s="6">
        <f>IF(AND(U6&lt;&gt;"",COUNTIF($U$2:$U$300,U6)&gt;1),"DUPLICATE KEY","")</f>
        <v/>
      </c>
    </row>
    <row r="7">
      <c r="A7" s="6" t="n">
        <v>6</v>
      </c>
      <c r="B7" s="6" t="inlineStr">
        <is>
          <t>Plus Minus</t>
        </is>
      </c>
      <c r="C7" s="6" t="inlineStr">
        <is>
          <t>HackerRank</t>
        </is>
      </c>
      <c r="D7" s="7" t="inlineStr">
        <is>
          <t>Open</t>
        </is>
      </c>
      <c r="E7" s="6" t="inlineStr">
        <is>
          <t>Programming fundamentals &amp; Big-O</t>
        </is>
      </c>
      <c r="F7" s="6" t="inlineStr">
        <is>
          <t>Easy</t>
        </is>
      </c>
      <c r="G7" s="6" t="inlineStr">
        <is>
          <t>Recommended</t>
        </is>
      </c>
      <c r="H7" s="6" t="n">
        <v>1</v>
      </c>
      <c r="I7" s="8" t="n"/>
      <c r="J7" s="9" t="inlineStr">
        <is>
          <t>Not started</t>
        </is>
      </c>
      <c r="K7" s="6">
        <f>IF(J7="Solved independently","Yes",IF(OR(J7="",J7="Not started"),"","No"))</f>
        <v/>
      </c>
      <c r="L7" s="9" t="n"/>
      <c r="M7" s="9" t="n"/>
      <c r="N7" s="9" t="n"/>
      <c r="O7" s="9" t="n"/>
      <c r="P7" s="10" t="n"/>
      <c r="Q7" s="9" t="n"/>
      <c r="R7" s="8" t="n"/>
      <c r="S7" s="11">
        <f>IF(R7="","",R7+IF(T7=0,3,IF(T7=1,7,IF(T7=2,21,45))))</f>
        <v/>
      </c>
      <c r="T7" s="9" t="n"/>
      <c r="U7" s="6">
        <f>IF(B7="","",LOWER(TRIM(B7)))</f>
        <v/>
      </c>
      <c r="V7" s="6">
        <f>IF(AND(U7&lt;&gt;"",OR(J7="Solved independently",J7="Solved with hints",J7="Solved after viewing solution"),COUNTIFS($U$2:U6,U7,$V$2:V6,1)=0),1,0)</f>
        <v/>
      </c>
      <c r="W7" s="6">
        <f>IF(AND(U7&lt;&gt;"",COUNTIF($U$2:$U$300,U7)&gt;1),"DUPLICATE KEY","")</f>
        <v/>
      </c>
    </row>
    <row r="8">
      <c r="A8" s="6" t="n">
        <v>7</v>
      </c>
      <c r="B8" s="6" t="inlineStr">
        <is>
          <t>Staircase</t>
        </is>
      </c>
      <c r="C8" s="6" t="inlineStr">
        <is>
          <t>HackerRank</t>
        </is>
      </c>
      <c r="D8" s="7" t="inlineStr">
        <is>
          <t>Open</t>
        </is>
      </c>
      <c r="E8" s="6" t="inlineStr">
        <is>
          <t>Programming fundamentals &amp; Big-O</t>
        </is>
      </c>
      <c r="F8" s="6" t="inlineStr">
        <is>
          <t>Easy</t>
        </is>
      </c>
      <c r="G8" s="6" t="inlineStr">
        <is>
          <t>Recommended</t>
        </is>
      </c>
      <c r="H8" s="6" t="n">
        <v>1</v>
      </c>
      <c r="I8" s="8" t="n"/>
      <c r="J8" s="9" t="inlineStr">
        <is>
          <t>Not started</t>
        </is>
      </c>
      <c r="K8" s="6">
        <f>IF(J8="Solved independently","Yes",IF(OR(J8="",J8="Not started"),"","No"))</f>
        <v/>
      </c>
      <c r="L8" s="9" t="n"/>
      <c r="M8" s="9" t="n"/>
      <c r="N8" s="9" t="n"/>
      <c r="O8" s="9" t="n"/>
      <c r="P8" s="10" t="n"/>
      <c r="Q8" s="9" t="n"/>
      <c r="R8" s="8" t="n"/>
      <c r="S8" s="11">
        <f>IF(R8="","",R8+IF(T8=0,3,IF(T8=1,7,IF(T8=2,21,45))))</f>
        <v/>
      </c>
      <c r="T8" s="9" t="n"/>
      <c r="U8" s="6">
        <f>IF(B8="","",LOWER(TRIM(B8)))</f>
        <v/>
      </c>
      <c r="V8" s="6">
        <f>IF(AND(U8&lt;&gt;"",OR(J8="Solved independently",J8="Solved with hints",J8="Solved after viewing solution"),COUNTIFS($U$2:U7,U8,$V$2:V7,1)=0),1,0)</f>
        <v/>
      </c>
      <c r="W8" s="6">
        <f>IF(AND(U8&lt;&gt;"",COUNTIF($U$2:$U$300,U8)&gt;1),"DUPLICATE KEY","")</f>
        <v/>
      </c>
    </row>
    <row r="9">
      <c r="A9" s="6" t="n">
        <v>8</v>
      </c>
      <c r="B9" s="6" t="inlineStr">
        <is>
          <t>Mini-Max Sum</t>
        </is>
      </c>
      <c r="C9" s="6" t="inlineStr">
        <is>
          <t>HackerRank</t>
        </is>
      </c>
      <c r="D9" s="7" t="inlineStr">
        <is>
          <t>Open</t>
        </is>
      </c>
      <c r="E9" s="6" t="inlineStr">
        <is>
          <t>Programming fundamentals &amp; Big-O</t>
        </is>
      </c>
      <c r="F9" s="6" t="inlineStr">
        <is>
          <t>Easy</t>
        </is>
      </c>
      <c r="G9" s="6" t="inlineStr">
        <is>
          <t>Recommended</t>
        </is>
      </c>
      <c r="H9" s="6" t="n">
        <v>1</v>
      </c>
      <c r="I9" s="8" t="n"/>
      <c r="J9" s="9" t="inlineStr">
        <is>
          <t>Not started</t>
        </is>
      </c>
      <c r="K9" s="6">
        <f>IF(J9="Solved independently","Yes",IF(OR(J9="",J9="Not started"),"","No"))</f>
        <v/>
      </c>
      <c r="L9" s="9" t="n"/>
      <c r="M9" s="9" t="n"/>
      <c r="N9" s="9" t="n"/>
      <c r="O9" s="9" t="n"/>
      <c r="P9" s="10" t="n"/>
      <c r="Q9" s="9" t="n"/>
      <c r="R9" s="8" t="n"/>
      <c r="S9" s="11">
        <f>IF(R9="","",R9+IF(T9=0,3,IF(T9=1,7,IF(T9=2,21,45))))</f>
        <v/>
      </c>
      <c r="T9" s="9" t="n"/>
      <c r="U9" s="6">
        <f>IF(B9="","",LOWER(TRIM(B9)))</f>
        <v/>
      </c>
      <c r="V9" s="6">
        <f>IF(AND(U9&lt;&gt;"",OR(J9="Solved independently",J9="Solved with hints",J9="Solved after viewing solution"),COUNTIFS($U$2:U8,U9,$V$2:V8,1)=0),1,0)</f>
        <v/>
      </c>
      <c r="W9" s="6">
        <f>IF(AND(U9&lt;&gt;"",COUNTIF($U$2:$U$300,U9)&gt;1),"DUPLICATE KEY","")</f>
        <v/>
      </c>
    </row>
    <row r="10">
      <c r="A10" s="6" t="n">
        <v>9</v>
      </c>
      <c r="B10" s="6" t="inlineStr">
        <is>
          <t>Birthday Cake Candles</t>
        </is>
      </c>
      <c r="C10" s="6" t="inlineStr">
        <is>
          <t>HackerRank</t>
        </is>
      </c>
      <c r="D10" s="7" t="inlineStr">
        <is>
          <t>Open</t>
        </is>
      </c>
      <c r="E10" s="6" t="inlineStr">
        <is>
          <t>Programming fundamentals &amp; Big-O</t>
        </is>
      </c>
      <c r="F10" s="6" t="inlineStr">
        <is>
          <t>Easy</t>
        </is>
      </c>
      <c r="G10" s="6" t="inlineStr">
        <is>
          <t>Optional</t>
        </is>
      </c>
      <c r="H10" s="6" t="n">
        <v>1</v>
      </c>
      <c r="I10" s="8" t="n"/>
      <c r="J10" s="9" t="inlineStr">
        <is>
          <t>Not started</t>
        </is>
      </c>
      <c r="K10" s="6">
        <f>IF(J10="Solved independently","Yes",IF(OR(J10="",J10="Not started"),"","No"))</f>
        <v/>
      </c>
      <c r="L10" s="9" t="n"/>
      <c r="M10" s="9" t="n"/>
      <c r="N10" s="9" t="n"/>
      <c r="O10" s="9" t="n"/>
      <c r="P10" s="10" t="n"/>
      <c r="Q10" s="9" t="n"/>
      <c r="R10" s="8" t="n"/>
      <c r="S10" s="11">
        <f>IF(R10="","",R10+IF(T10=0,3,IF(T10=1,7,IF(T10=2,21,45))))</f>
        <v/>
      </c>
      <c r="T10" s="9" t="n"/>
      <c r="U10" s="6">
        <f>IF(B10="","",LOWER(TRIM(B10)))</f>
        <v/>
      </c>
      <c r="V10" s="6">
        <f>IF(AND(U10&lt;&gt;"",OR(J10="Solved independently",J10="Solved with hints",J10="Solved after viewing solution"),COUNTIFS($U$2:U9,U10,$V$2:V9,1)=0),1,0)</f>
        <v/>
      </c>
      <c r="W10" s="6">
        <f>IF(AND(U10&lt;&gt;"",COUNTIF($U$2:$U$300,U10)&gt;1),"DUPLICATE KEY","")</f>
        <v/>
      </c>
    </row>
    <row r="11">
      <c r="A11" s="6" t="n">
        <v>10</v>
      </c>
      <c r="B11" s="6" t="inlineStr">
        <is>
          <t>Time Conversion</t>
        </is>
      </c>
      <c r="C11" s="6" t="inlineStr">
        <is>
          <t>HackerRank</t>
        </is>
      </c>
      <c r="D11" s="7" t="inlineStr">
        <is>
          <t>Open</t>
        </is>
      </c>
      <c r="E11" s="6" t="inlineStr">
        <is>
          <t>Programming fundamentals &amp; Big-O</t>
        </is>
      </c>
      <c r="F11" s="6" t="inlineStr">
        <is>
          <t>Easy</t>
        </is>
      </c>
      <c r="G11" s="6" t="inlineStr">
        <is>
          <t>Optional</t>
        </is>
      </c>
      <c r="H11" s="6" t="n">
        <v>1</v>
      </c>
      <c r="I11" s="8" t="n"/>
      <c r="J11" s="9" t="inlineStr">
        <is>
          <t>Not started</t>
        </is>
      </c>
      <c r="K11" s="6">
        <f>IF(J11="Solved independently","Yes",IF(OR(J11="",J11="Not started"),"","No"))</f>
        <v/>
      </c>
      <c r="L11" s="9" t="n"/>
      <c r="M11" s="9" t="n"/>
      <c r="N11" s="9" t="n"/>
      <c r="O11" s="9" t="n"/>
      <c r="P11" s="10" t="n"/>
      <c r="Q11" s="9" t="n"/>
      <c r="R11" s="8" t="n"/>
      <c r="S11" s="11">
        <f>IF(R11="","",R11+IF(T11=0,3,IF(T11=1,7,IF(T11=2,21,45))))</f>
        <v/>
      </c>
      <c r="T11" s="9" t="n"/>
      <c r="U11" s="6">
        <f>IF(B11="","",LOWER(TRIM(B11)))</f>
        <v/>
      </c>
      <c r="V11" s="6">
        <f>IF(AND(U11&lt;&gt;"",OR(J11="Solved independently",J11="Solved with hints",J11="Solved after viewing solution"),COUNTIFS($U$2:U10,U11,$V$2:V10,1)=0),1,0)</f>
        <v/>
      </c>
      <c r="W11" s="6">
        <f>IF(AND(U11&lt;&gt;"",COUNTIF($U$2:$U$300,U11)&gt;1),"DUPLICATE KEY","")</f>
        <v/>
      </c>
    </row>
    <row r="12">
      <c r="A12" s="6" t="n">
        <v>11</v>
      </c>
      <c r="B12" s="6" t="inlineStr">
        <is>
          <t>FizzBuzz</t>
        </is>
      </c>
      <c r="C12" s="6" t="inlineStr">
        <is>
          <t>LeetCode</t>
        </is>
      </c>
      <c r="D12" s="7" t="inlineStr">
        <is>
          <t>Open</t>
        </is>
      </c>
      <c r="E12" s="6" t="inlineStr">
        <is>
          <t>Programming fundamentals &amp; Big-O</t>
        </is>
      </c>
      <c r="F12" s="6" t="inlineStr">
        <is>
          <t>Easy</t>
        </is>
      </c>
      <c r="G12" s="6" t="inlineStr">
        <is>
          <t>Essential</t>
        </is>
      </c>
      <c r="H12" s="6" t="n">
        <v>1</v>
      </c>
      <c r="I12" s="8" t="n"/>
      <c r="J12" s="9" t="inlineStr">
        <is>
          <t>Not started</t>
        </is>
      </c>
      <c r="K12" s="6">
        <f>IF(J12="Solved independently","Yes",IF(OR(J12="",J12="Not started"),"","No"))</f>
        <v/>
      </c>
      <c r="L12" s="9" t="n"/>
      <c r="M12" s="9" t="n"/>
      <c r="N12" s="9" t="n"/>
      <c r="O12" s="9" t="n"/>
      <c r="P12" s="10" t="n"/>
      <c r="Q12" s="9" t="n"/>
      <c r="R12" s="8" t="n"/>
      <c r="S12" s="11">
        <f>IF(R12="","",R12+IF(T12=0,3,IF(T12=1,7,IF(T12=2,21,45))))</f>
        <v/>
      </c>
      <c r="T12" s="9" t="n"/>
      <c r="U12" s="6">
        <f>IF(B12="","",LOWER(TRIM(B12)))</f>
        <v/>
      </c>
      <c r="V12" s="6">
        <f>IF(AND(U12&lt;&gt;"",OR(J12="Solved independently",J12="Solved with hints",J12="Solved after viewing solution"),COUNTIFS($U$2:U11,U12,$V$2:V11,1)=0),1,0)</f>
        <v/>
      </c>
      <c r="W12" s="6">
        <f>IF(AND(U12&lt;&gt;"",COUNTIF($U$2:$U$300,U12)&gt;1),"DUPLICATE KEY","")</f>
        <v/>
      </c>
    </row>
    <row r="13">
      <c r="A13" s="6" t="n">
        <v>12</v>
      </c>
      <c r="B13" s="6" t="inlineStr">
        <is>
          <t>Running Sum of 1d Array</t>
        </is>
      </c>
      <c r="C13" s="6" t="inlineStr">
        <is>
          <t>LeetCode</t>
        </is>
      </c>
      <c r="D13" s="7" t="inlineStr">
        <is>
          <t>Open</t>
        </is>
      </c>
      <c r="E13" s="6" t="inlineStr">
        <is>
          <t>Programming fundamentals &amp; Big-O</t>
        </is>
      </c>
      <c r="F13" s="6" t="inlineStr">
        <is>
          <t>Easy</t>
        </is>
      </c>
      <c r="G13" s="6" t="inlineStr">
        <is>
          <t>Essential</t>
        </is>
      </c>
      <c r="H13" s="6" t="n">
        <v>1</v>
      </c>
      <c r="I13" s="8" t="n"/>
      <c r="J13" s="9" t="inlineStr">
        <is>
          <t>Not started</t>
        </is>
      </c>
      <c r="K13" s="6">
        <f>IF(J13="Solved independently","Yes",IF(OR(J13="",J13="Not started"),"","No"))</f>
        <v/>
      </c>
      <c r="L13" s="9" t="n"/>
      <c r="M13" s="9" t="n"/>
      <c r="N13" s="9" t="n"/>
      <c r="O13" s="9" t="n"/>
      <c r="P13" s="10" t="n"/>
      <c r="Q13" s="9" t="n"/>
      <c r="R13" s="8" t="n"/>
      <c r="S13" s="11">
        <f>IF(R13="","",R13+IF(T13=0,3,IF(T13=1,7,IF(T13=2,21,45))))</f>
        <v/>
      </c>
      <c r="T13" s="9" t="n"/>
      <c r="U13" s="6">
        <f>IF(B13="","",LOWER(TRIM(B13)))</f>
        <v/>
      </c>
      <c r="V13" s="6">
        <f>IF(AND(U13&lt;&gt;"",OR(J13="Solved independently",J13="Solved with hints",J13="Solved after viewing solution"),COUNTIFS($U$2:U12,U13,$V$2:V12,1)=0),1,0)</f>
        <v/>
      </c>
      <c r="W13" s="6">
        <f>IF(AND(U13&lt;&gt;"",COUNTIF($U$2:$U$300,U13)&gt;1),"DUPLICATE KEY","")</f>
        <v/>
      </c>
    </row>
    <row r="14">
      <c r="A14" s="6" t="n">
        <v>13</v>
      </c>
      <c r="B14" s="6" t="inlineStr">
        <is>
          <t>Contains Duplicate</t>
        </is>
      </c>
      <c r="C14" s="6" t="inlineStr">
        <is>
          <t>LeetCode</t>
        </is>
      </c>
      <c r="D14" s="7" t="inlineStr">
        <is>
          <t>Open</t>
        </is>
      </c>
      <c r="E14" s="6" t="inlineStr">
        <is>
          <t>Arrays &amp; strings</t>
        </is>
      </c>
      <c r="F14" s="6" t="inlineStr">
        <is>
          <t>Easy</t>
        </is>
      </c>
      <c r="G14" s="6" t="inlineStr">
        <is>
          <t>Essential</t>
        </is>
      </c>
      <c r="H14" s="6" t="n">
        <v>1</v>
      </c>
      <c r="I14" s="8" t="n"/>
      <c r="J14" s="9" t="inlineStr">
        <is>
          <t>Not started</t>
        </is>
      </c>
      <c r="K14" s="6">
        <f>IF(J14="Solved independently","Yes",IF(OR(J14="",J14="Not started"),"","No"))</f>
        <v/>
      </c>
      <c r="L14" s="9" t="n"/>
      <c r="M14" s="9" t="n"/>
      <c r="N14" s="9" t="n"/>
      <c r="O14" s="9" t="n"/>
      <c r="P14" s="10" t="n"/>
      <c r="Q14" s="9" t="n"/>
      <c r="R14" s="8" t="n"/>
      <c r="S14" s="11">
        <f>IF(R14="","",R14+IF(T14=0,3,IF(T14=1,7,IF(T14=2,21,45))))</f>
        <v/>
      </c>
      <c r="T14" s="9" t="n"/>
      <c r="U14" s="6">
        <f>IF(B14="","",LOWER(TRIM(B14)))</f>
        <v/>
      </c>
      <c r="V14" s="6">
        <f>IF(AND(U14&lt;&gt;"",OR(J14="Solved independently",J14="Solved with hints",J14="Solved after viewing solution"),COUNTIFS($U$2:U13,U14,$V$2:V13,1)=0),1,0)</f>
        <v/>
      </c>
      <c r="W14" s="6">
        <f>IF(AND(U14&lt;&gt;"",COUNTIF($U$2:$U$300,U14)&gt;1),"DUPLICATE KEY","")</f>
        <v/>
      </c>
    </row>
    <row r="15">
      <c r="A15" s="6" t="n">
        <v>14</v>
      </c>
      <c r="B15" s="6" t="inlineStr">
        <is>
          <t>Best Time to Buy and Sell Stock</t>
        </is>
      </c>
      <c r="C15" s="6" t="inlineStr">
        <is>
          <t>LeetCode</t>
        </is>
      </c>
      <c r="D15" s="7" t="inlineStr">
        <is>
          <t>Open</t>
        </is>
      </c>
      <c r="E15" s="6" t="inlineStr">
        <is>
          <t>Arrays &amp; strings</t>
        </is>
      </c>
      <c r="F15" s="6" t="inlineStr">
        <is>
          <t>Easy</t>
        </is>
      </c>
      <c r="G15" s="6" t="inlineStr">
        <is>
          <t>Essential</t>
        </is>
      </c>
      <c r="H15" s="6" t="n">
        <v>1</v>
      </c>
      <c r="I15" s="8" t="n"/>
      <c r="J15" s="9" t="inlineStr">
        <is>
          <t>Not started</t>
        </is>
      </c>
      <c r="K15" s="6">
        <f>IF(J15="Solved independently","Yes",IF(OR(J15="",J15="Not started"),"","No"))</f>
        <v/>
      </c>
      <c r="L15" s="9" t="n"/>
      <c r="M15" s="9" t="n"/>
      <c r="N15" s="9" t="n"/>
      <c r="O15" s="9" t="n"/>
      <c r="P15" s="10" t="n"/>
      <c r="Q15" s="9" t="n"/>
      <c r="R15" s="8" t="n"/>
      <c r="S15" s="11">
        <f>IF(R15="","",R15+IF(T15=0,3,IF(T15=1,7,IF(T15=2,21,45))))</f>
        <v/>
      </c>
      <c r="T15" s="9" t="n"/>
      <c r="U15" s="6">
        <f>IF(B15="","",LOWER(TRIM(B15)))</f>
        <v/>
      </c>
      <c r="V15" s="6">
        <f>IF(AND(U15&lt;&gt;"",OR(J15="Solved independently",J15="Solved with hints",J15="Solved after viewing solution"),COUNTIFS($U$2:U14,U15,$V$2:V14,1)=0),1,0)</f>
        <v/>
      </c>
      <c r="W15" s="6">
        <f>IF(AND(U15&lt;&gt;"",COUNTIF($U$2:$U$300,U15)&gt;1),"DUPLICATE KEY","")</f>
        <v/>
      </c>
    </row>
    <row r="16">
      <c r="A16" s="6" t="n">
        <v>15</v>
      </c>
      <c r="B16" s="6" t="inlineStr">
        <is>
          <t>Maximum Subarray</t>
        </is>
      </c>
      <c r="C16" s="6" t="inlineStr">
        <is>
          <t>LeetCode</t>
        </is>
      </c>
      <c r="D16" s="7" t="inlineStr">
        <is>
          <t>Open</t>
        </is>
      </c>
      <c r="E16" s="6" t="inlineStr">
        <is>
          <t>Arrays &amp; strings</t>
        </is>
      </c>
      <c r="F16" s="6" t="inlineStr">
        <is>
          <t>Medium</t>
        </is>
      </c>
      <c r="G16" s="6" t="inlineStr">
        <is>
          <t>Essential</t>
        </is>
      </c>
      <c r="H16" s="6" t="n">
        <v>1</v>
      </c>
      <c r="I16" s="8" t="n"/>
      <c r="J16" s="9" t="inlineStr">
        <is>
          <t>Not started</t>
        </is>
      </c>
      <c r="K16" s="6">
        <f>IF(J16="Solved independently","Yes",IF(OR(J16="",J16="Not started"),"","No"))</f>
        <v/>
      </c>
      <c r="L16" s="9" t="n"/>
      <c r="M16" s="9" t="n"/>
      <c r="N16" s="9" t="n"/>
      <c r="O16" s="9" t="n"/>
      <c r="P16" s="10" t="n"/>
      <c r="Q16" s="9" t="n"/>
      <c r="R16" s="8" t="n"/>
      <c r="S16" s="11">
        <f>IF(R16="","",R16+IF(T16=0,3,IF(T16=1,7,IF(T16=2,21,45))))</f>
        <v/>
      </c>
      <c r="T16" s="9" t="n"/>
      <c r="U16" s="6">
        <f>IF(B16="","",LOWER(TRIM(B16)))</f>
        <v/>
      </c>
      <c r="V16" s="6">
        <f>IF(AND(U16&lt;&gt;"",OR(J16="Solved independently",J16="Solved with hints",J16="Solved after viewing solution"),COUNTIFS($U$2:U15,U16,$V$2:V15,1)=0),1,0)</f>
        <v/>
      </c>
      <c r="W16" s="6">
        <f>IF(AND(U16&lt;&gt;"",COUNTIF($U$2:$U$300,U16)&gt;1),"DUPLICATE KEY","")</f>
        <v/>
      </c>
    </row>
    <row r="17">
      <c r="A17" s="6" t="n">
        <v>16</v>
      </c>
      <c r="B17" s="6" t="inlineStr">
        <is>
          <t>Move Zeroes</t>
        </is>
      </c>
      <c r="C17" s="6" t="inlineStr">
        <is>
          <t>LeetCode</t>
        </is>
      </c>
      <c r="D17" s="7" t="inlineStr">
        <is>
          <t>Open</t>
        </is>
      </c>
      <c r="E17" s="6" t="inlineStr">
        <is>
          <t>Arrays &amp; strings</t>
        </is>
      </c>
      <c r="F17" s="6" t="inlineStr">
        <is>
          <t>Easy</t>
        </is>
      </c>
      <c r="G17" s="6" t="inlineStr">
        <is>
          <t>Essential</t>
        </is>
      </c>
      <c r="H17" s="6" t="n">
        <v>1</v>
      </c>
      <c r="I17" s="8" t="n"/>
      <c r="J17" s="9" t="inlineStr">
        <is>
          <t>Not started</t>
        </is>
      </c>
      <c r="K17" s="6">
        <f>IF(J17="Solved independently","Yes",IF(OR(J17="",J17="Not started"),"","No"))</f>
        <v/>
      </c>
      <c r="L17" s="9" t="n"/>
      <c r="M17" s="9" t="n"/>
      <c r="N17" s="9" t="n"/>
      <c r="O17" s="9" t="n"/>
      <c r="P17" s="10" t="n"/>
      <c r="Q17" s="9" t="n"/>
      <c r="R17" s="8" t="n"/>
      <c r="S17" s="11">
        <f>IF(R17="","",R17+IF(T17=0,3,IF(T17=1,7,IF(T17=2,21,45))))</f>
        <v/>
      </c>
      <c r="T17" s="9" t="n"/>
      <c r="U17" s="6">
        <f>IF(B17="","",LOWER(TRIM(B17)))</f>
        <v/>
      </c>
      <c r="V17" s="6">
        <f>IF(AND(U17&lt;&gt;"",OR(J17="Solved independently",J17="Solved with hints",J17="Solved after viewing solution"),COUNTIFS($U$2:U16,U17,$V$2:V16,1)=0),1,0)</f>
        <v/>
      </c>
      <c r="W17" s="6">
        <f>IF(AND(U17&lt;&gt;"",COUNTIF($U$2:$U$300,U17)&gt;1),"DUPLICATE KEY","")</f>
        <v/>
      </c>
    </row>
    <row r="18">
      <c r="A18" s="6" t="n">
        <v>17</v>
      </c>
      <c r="B18" s="6" t="inlineStr">
        <is>
          <t>Remove Duplicates from Sorted Array</t>
        </is>
      </c>
      <c r="C18" s="6" t="inlineStr">
        <is>
          <t>LeetCode</t>
        </is>
      </c>
      <c r="D18" s="7" t="inlineStr">
        <is>
          <t>Open</t>
        </is>
      </c>
      <c r="E18" s="6" t="inlineStr">
        <is>
          <t>Arrays &amp; strings</t>
        </is>
      </c>
      <c r="F18" s="6" t="inlineStr">
        <is>
          <t>Easy</t>
        </is>
      </c>
      <c r="G18" s="6" t="inlineStr">
        <is>
          <t>Recommended</t>
        </is>
      </c>
      <c r="H18" s="6" t="n">
        <v>1</v>
      </c>
      <c r="I18" s="8" t="n"/>
      <c r="J18" s="9" t="inlineStr">
        <is>
          <t>Not started</t>
        </is>
      </c>
      <c r="K18" s="6">
        <f>IF(J18="Solved independently","Yes",IF(OR(J18="",J18="Not started"),"","No"))</f>
        <v/>
      </c>
      <c r="L18" s="9" t="n"/>
      <c r="M18" s="9" t="n"/>
      <c r="N18" s="9" t="n"/>
      <c r="O18" s="9" t="n"/>
      <c r="P18" s="10" t="n"/>
      <c r="Q18" s="9" t="n"/>
      <c r="R18" s="8" t="n"/>
      <c r="S18" s="11">
        <f>IF(R18="","",R18+IF(T18=0,3,IF(T18=1,7,IF(T18=2,21,45))))</f>
        <v/>
      </c>
      <c r="T18" s="9" t="n"/>
      <c r="U18" s="6">
        <f>IF(B18="","",LOWER(TRIM(B18)))</f>
        <v/>
      </c>
      <c r="V18" s="6">
        <f>IF(AND(U18&lt;&gt;"",OR(J18="Solved independently",J18="Solved with hints",J18="Solved after viewing solution"),COUNTIFS($U$2:U17,U18,$V$2:V17,1)=0),1,0)</f>
        <v/>
      </c>
      <c r="W18" s="6">
        <f>IF(AND(U18&lt;&gt;"",COUNTIF($U$2:$U$300,U18)&gt;1),"DUPLICATE KEY","")</f>
        <v/>
      </c>
    </row>
    <row r="19">
      <c r="A19" s="6" t="n">
        <v>18</v>
      </c>
      <c r="B19" s="6" t="inlineStr">
        <is>
          <t>Merge Sorted Array</t>
        </is>
      </c>
      <c r="C19" s="6" t="inlineStr">
        <is>
          <t>LeetCode</t>
        </is>
      </c>
      <c r="D19" s="7" t="inlineStr">
        <is>
          <t>Open</t>
        </is>
      </c>
      <c r="E19" s="6" t="inlineStr">
        <is>
          <t>Arrays &amp; strings</t>
        </is>
      </c>
      <c r="F19" s="6" t="inlineStr">
        <is>
          <t>Easy</t>
        </is>
      </c>
      <c r="G19" s="6" t="inlineStr">
        <is>
          <t>Recommended</t>
        </is>
      </c>
      <c r="H19" s="6" t="n">
        <v>1</v>
      </c>
      <c r="I19" s="8" t="n"/>
      <c r="J19" s="9" t="inlineStr">
        <is>
          <t>Not started</t>
        </is>
      </c>
      <c r="K19" s="6">
        <f>IF(J19="Solved independently","Yes",IF(OR(J19="",J19="Not started"),"","No"))</f>
        <v/>
      </c>
      <c r="L19" s="9" t="n"/>
      <c r="M19" s="9" t="n"/>
      <c r="N19" s="9" t="n"/>
      <c r="O19" s="9" t="n"/>
      <c r="P19" s="10" t="n"/>
      <c r="Q19" s="9" t="n"/>
      <c r="R19" s="8" t="n"/>
      <c r="S19" s="11">
        <f>IF(R19="","",R19+IF(T19=0,3,IF(T19=1,7,IF(T19=2,21,45))))</f>
        <v/>
      </c>
      <c r="T19" s="9" t="n"/>
      <c r="U19" s="6">
        <f>IF(B19="","",LOWER(TRIM(B19)))</f>
        <v/>
      </c>
      <c r="V19" s="6">
        <f>IF(AND(U19&lt;&gt;"",OR(J19="Solved independently",J19="Solved with hints",J19="Solved after viewing solution"),COUNTIFS($U$2:U18,U19,$V$2:V18,1)=0),1,0)</f>
        <v/>
      </c>
      <c r="W19" s="6">
        <f>IF(AND(U19&lt;&gt;"",COUNTIF($U$2:$U$300,U19)&gt;1),"DUPLICATE KEY","")</f>
        <v/>
      </c>
    </row>
    <row r="20">
      <c r="A20" s="6" t="n">
        <v>19</v>
      </c>
      <c r="B20" s="6" t="inlineStr">
        <is>
          <t>Plus One</t>
        </is>
      </c>
      <c r="C20" s="6" t="inlineStr">
        <is>
          <t>LeetCode</t>
        </is>
      </c>
      <c r="D20" s="7" t="inlineStr">
        <is>
          <t>Open</t>
        </is>
      </c>
      <c r="E20" s="6" t="inlineStr">
        <is>
          <t>Arrays &amp; strings</t>
        </is>
      </c>
      <c r="F20" s="6" t="inlineStr">
        <is>
          <t>Easy</t>
        </is>
      </c>
      <c r="G20" s="6" t="inlineStr">
        <is>
          <t>Recommended</t>
        </is>
      </c>
      <c r="H20" s="6" t="n">
        <v>1</v>
      </c>
      <c r="I20" s="8" t="n"/>
      <c r="J20" s="9" t="inlineStr">
        <is>
          <t>Not started</t>
        </is>
      </c>
      <c r="K20" s="6">
        <f>IF(J20="Solved independently","Yes",IF(OR(J20="",J20="Not started"),"","No"))</f>
        <v/>
      </c>
      <c r="L20" s="9" t="n"/>
      <c r="M20" s="9" t="n"/>
      <c r="N20" s="9" t="n"/>
      <c r="O20" s="9" t="n"/>
      <c r="P20" s="10" t="n"/>
      <c r="Q20" s="9" t="n"/>
      <c r="R20" s="8" t="n"/>
      <c r="S20" s="11">
        <f>IF(R20="","",R20+IF(T20=0,3,IF(T20=1,7,IF(T20=2,21,45))))</f>
        <v/>
      </c>
      <c r="T20" s="9" t="n"/>
      <c r="U20" s="6">
        <f>IF(B20="","",LOWER(TRIM(B20)))</f>
        <v/>
      </c>
      <c r="V20" s="6">
        <f>IF(AND(U20&lt;&gt;"",OR(J20="Solved independently",J20="Solved with hints",J20="Solved after viewing solution"),COUNTIFS($U$2:U19,U20,$V$2:V19,1)=0),1,0)</f>
        <v/>
      </c>
      <c r="W20" s="6">
        <f>IF(AND(U20&lt;&gt;"",COUNTIF($U$2:$U$300,U20)&gt;1),"DUPLICATE KEY","")</f>
        <v/>
      </c>
    </row>
    <row r="21">
      <c r="A21" s="6" t="n">
        <v>20</v>
      </c>
      <c r="B21" s="6" t="inlineStr">
        <is>
          <t>Rotate Array</t>
        </is>
      </c>
      <c r="C21" s="6" t="inlineStr">
        <is>
          <t>LeetCode</t>
        </is>
      </c>
      <c r="D21" s="7" t="inlineStr">
        <is>
          <t>Open</t>
        </is>
      </c>
      <c r="E21" s="6" t="inlineStr">
        <is>
          <t>Arrays &amp; strings</t>
        </is>
      </c>
      <c r="F21" s="6" t="inlineStr">
        <is>
          <t>Medium</t>
        </is>
      </c>
      <c r="G21" s="6" t="inlineStr">
        <is>
          <t>Recommended</t>
        </is>
      </c>
      <c r="H21" s="6" t="n">
        <v>1</v>
      </c>
      <c r="I21" s="8" t="n"/>
      <c r="J21" s="9" t="inlineStr">
        <is>
          <t>Not started</t>
        </is>
      </c>
      <c r="K21" s="6">
        <f>IF(J21="Solved independently","Yes",IF(OR(J21="",J21="Not started"),"","No"))</f>
        <v/>
      </c>
      <c r="L21" s="9" t="n"/>
      <c r="M21" s="9" t="n"/>
      <c r="N21" s="9" t="n"/>
      <c r="O21" s="9" t="n"/>
      <c r="P21" s="10" t="n"/>
      <c r="Q21" s="9" t="n"/>
      <c r="R21" s="8" t="n"/>
      <c r="S21" s="11">
        <f>IF(R21="","",R21+IF(T21=0,3,IF(T21=1,7,IF(T21=2,21,45))))</f>
        <v/>
      </c>
      <c r="T21" s="9" t="n"/>
      <c r="U21" s="6">
        <f>IF(B21="","",LOWER(TRIM(B21)))</f>
        <v/>
      </c>
      <c r="V21" s="6">
        <f>IF(AND(U21&lt;&gt;"",OR(J21="Solved independently",J21="Solved with hints",J21="Solved after viewing solution"),COUNTIFS($U$2:U20,U21,$V$2:V20,1)=0),1,0)</f>
        <v/>
      </c>
      <c r="W21" s="6">
        <f>IF(AND(U21&lt;&gt;"",COUNTIF($U$2:$U$300,U21)&gt;1),"DUPLICATE KEY","")</f>
        <v/>
      </c>
    </row>
    <row r="22">
      <c r="A22" s="6" t="n">
        <v>21</v>
      </c>
      <c r="B22" s="6" t="inlineStr">
        <is>
          <t>Majority Element</t>
        </is>
      </c>
      <c r="C22" s="6" t="inlineStr">
        <is>
          <t>LeetCode</t>
        </is>
      </c>
      <c r="D22" s="7" t="inlineStr">
        <is>
          <t>Open</t>
        </is>
      </c>
      <c r="E22" s="6" t="inlineStr">
        <is>
          <t>Arrays &amp; strings</t>
        </is>
      </c>
      <c r="F22" s="6" t="inlineStr">
        <is>
          <t>Easy</t>
        </is>
      </c>
      <c r="G22" s="6" t="inlineStr">
        <is>
          <t>Recommended</t>
        </is>
      </c>
      <c r="H22" s="6" t="n">
        <v>1</v>
      </c>
      <c r="I22" s="8" t="n"/>
      <c r="J22" s="9" t="inlineStr">
        <is>
          <t>Not started</t>
        </is>
      </c>
      <c r="K22" s="6">
        <f>IF(J22="Solved independently","Yes",IF(OR(J22="",J22="Not started"),"","No"))</f>
        <v/>
      </c>
      <c r="L22" s="9" t="n"/>
      <c r="M22" s="9" t="n"/>
      <c r="N22" s="9" t="n"/>
      <c r="O22" s="9" t="n"/>
      <c r="P22" s="10" t="n"/>
      <c r="Q22" s="9" t="n"/>
      <c r="R22" s="8" t="n"/>
      <c r="S22" s="11">
        <f>IF(R22="","",R22+IF(T22=0,3,IF(T22=1,7,IF(T22=2,21,45))))</f>
        <v/>
      </c>
      <c r="T22" s="9" t="n"/>
      <c r="U22" s="6">
        <f>IF(B22="","",LOWER(TRIM(B22)))</f>
        <v/>
      </c>
      <c r="V22" s="6">
        <f>IF(AND(U22&lt;&gt;"",OR(J22="Solved independently",J22="Solved with hints",J22="Solved after viewing solution"),COUNTIFS($U$2:U21,U22,$V$2:V21,1)=0),1,0)</f>
        <v/>
      </c>
      <c r="W22" s="6">
        <f>IF(AND(U22&lt;&gt;"",COUNTIF($U$2:$U$300,U22)&gt;1),"DUPLICATE KEY","")</f>
        <v/>
      </c>
    </row>
    <row r="23">
      <c r="A23" s="6" t="n">
        <v>22</v>
      </c>
      <c r="B23" s="6" t="inlineStr">
        <is>
          <t>Reverse String</t>
        </is>
      </c>
      <c r="C23" s="6" t="inlineStr">
        <is>
          <t>LeetCode</t>
        </is>
      </c>
      <c r="D23" s="7" t="inlineStr">
        <is>
          <t>Open</t>
        </is>
      </c>
      <c r="E23" s="6" t="inlineStr">
        <is>
          <t>Arrays &amp; strings</t>
        </is>
      </c>
      <c r="F23" s="6" t="inlineStr">
        <is>
          <t>Easy</t>
        </is>
      </c>
      <c r="G23" s="6" t="inlineStr">
        <is>
          <t>Essential</t>
        </is>
      </c>
      <c r="H23" s="6" t="n">
        <v>1</v>
      </c>
      <c r="I23" s="8" t="n"/>
      <c r="J23" s="9" t="inlineStr">
        <is>
          <t>Not started</t>
        </is>
      </c>
      <c r="K23" s="6">
        <f>IF(J23="Solved independently","Yes",IF(OR(J23="",J23="Not started"),"","No"))</f>
        <v/>
      </c>
      <c r="L23" s="9" t="n"/>
      <c r="M23" s="9" t="n"/>
      <c r="N23" s="9" t="n"/>
      <c r="O23" s="9" t="n"/>
      <c r="P23" s="10" t="n"/>
      <c r="Q23" s="9" t="n"/>
      <c r="R23" s="8" t="n"/>
      <c r="S23" s="11">
        <f>IF(R23="","",R23+IF(T23=0,3,IF(T23=1,7,IF(T23=2,21,45))))</f>
        <v/>
      </c>
      <c r="T23" s="9" t="n"/>
      <c r="U23" s="6">
        <f>IF(B23="","",LOWER(TRIM(B23)))</f>
        <v/>
      </c>
      <c r="V23" s="6">
        <f>IF(AND(U23&lt;&gt;"",OR(J23="Solved independently",J23="Solved with hints",J23="Solved after viewing solution"),COUNTIFS($U$2:U22,U23,$V$2:V22,1)=0),1,0)</f>
        <v/>
      </c>
      <c r="W23" s="6">
        <f>IF(AND(U23&lt;&gt;"",COUNTIF($U$2:$U$300,U23)&gt;1),"DUPLICATE KEY","")</f>
        <v/>
      </c>
    </row>
    <row r="24">
      <c r="A24" s="6" t="n">
        <v>23</v>
      </c>
      <c r="B24" s="6" t="inlineStr">
        <is>
          <t>Valid Palindrome</t>
        </is>
      </c>
      <c r="C24" s="6" t="inlineStr">
        <is>
          <t>LeetCode</t>
        </is>
      </c>
      <c r="D24" s="7" t="inlineStr">
        <is>
          <t>Open</t>
        </is>
      </c>
      <c r="E24" s="6" t="inlineStr">
        <is>
          <t>Arrays &amp; strings</t>
        </is>
      </c>
      <c r="F24" s="6" t="inlineStr">
        <is>
          <t>Easy</t>
        </is>
      </c>
      <c r="G24" s="6" t="inlineStr">
        <is>
          <t>Essential</t>
        </is>
      </c>
      <c r="H24" s="6" t="n">
        <v>1</v>
      </c>
      <c r="I24" s="8" t="n"/>
      <c r="J24" s="9" t="inlineStr">
        <is>
          <t>Not started</t>
        </is>
      </c>
      <c r="K24" s="6">
        <f>IF(J24="Solved independently","Yes",IF(OR(J24="",J24="Not started"),"","No"))</f>
        <v/>
      </c>
      <c r="L24" s="9" t="n"/>
      <c r="M24" s="9" t="n"/>
      <c r="N24" s="9" t="n"/>
      <c r="O24" s="9" t="n"/>
      <c r="P24" s="10" t="n"/>
      <c r="Q24" s="9" t="n"/>
      <c r="R24" s="8" t="n"/>
      <c r="S24" s="11">
        <f>IF(R24="","",R24+IF(T24=0,3,IF(T24=1,7,IF(T24=2,21,45))))</f>
        <v/>
      </c>
      <c r="T24" s="9" t="n"/>
      <c r="U24" s="6">
        <f>IF(B24="","",LOWER(TRIM(B24)))</f>
        <v/>
      </c>
      <c r="V24" s="6">
        <f>IF(AND(U24&lt;&gt;"",OR(J24="Solved independently",J24="Solved with hints",J24="Solved after viewing solution"),COUNTIFS($U$2:U23,U24,$V$2:V23,1)=0),1,0)</f>
        <v/>
      </c>
      <c r="W24" s="6">
        <f>IF(AND(U24&lt;&gt;"",COUNTIF($U$2:$U$300,U24)&gt;1),"DUPLICATE KEY","")</f>
        <v/>
      </c>
    </row>
    <row r="25">
      <c r="A25" s="6" t="n">
        <v>24</v>
      </c>
      <c r="B25" s="6" t="inlineStr">
        <is>
          <t>Longest Common Prefix</t>
        </is>
      </c>
      <c r="C25" s="6" t="inlineStr">
        <is>
          <t>LeetCode</t>
        </is>
      </c>
      <c r="D25" s="7" t="inlineStr">
        <is>
          <t>Open</t>
        </is>
      </c>
      <c r="E25" s="6" t="inlineStr">
        <is>
          <t>Arrays &amp; strings</t>
        </is>
      </c>
      <c r="F25" s="6" t="inlineStr">
        <is>
          <t>Easy</t>
        </is>
      </c>
      <c r="G25" s="6" t="inlineStr">
        <is>
          <t>Recommended</t>
        </is>
      </c>
      <c r="H25" s="6" t="n">
        <v>1</v>
      </c>
      <c r="I25" s="8" t="n"/>
      <c r="J25" s="9" t="inlineStr">
        <is>
          <t>Not started</t>
        </is>
      </c>
      <c r="K25" s="6">
        <f>IF(J25="Solved independently","Yes",IF(OR(J25="",J25="Not started"),"","No"))</f>
        <v/>
      </c>
      <c r="L25" s="9" t="n"/>
      <c r="M25" s="9" t="n"/>
      <c r="N25" s="9" t="n"/>
      <c r="O25" s="9" t="n"/>
      <c r="P25" s="10" t="n"/>
      <c r="Q25" s="9" t="n"/>
      <c r="R25" s="8" t="n"/>
      <c r="S25" s="11">
        <f>IF(R25="","",R25+IF(T25=0,3,IF(T25=1,7,IF(T25=2,21,45))))</f>
        <v/>
      </c>
      <c r="T25" s="9" t="n"/>
      <c r="U25" s="6">
        <f>IF(B25="","",LOWER(TRIM(B25)))</f>
        <v/>
      </c>
      <c r="V25" s="6">
        <f>IF(AND(U25&lt;&gt;"",OR(J25="Solved independently",J25="Solved with hints",J25="Solved after viewing solution"),COUNTIFS($U$2:U24,U25,$V$2:V24,1)=0),1,0)</f>
        <v/>
      </c>
      <c r="W25" s="6">
        <f>IF(AND(U25&lt;&gt;"",COUNTIF($U$2:$U$300,U25)&gt;1),"DUPLICATE KEY","")</f>
        <v/>
      </c>
    </row>
    <row r="26">
      <c r="A26" s="6" t="n">
        <v>25</v>
      </c>
      <c r="B26" s="6" t="inlineStr">
        <is>
          <t>Roman to Integer</t>
        </is>
      </c>
      <c r="C26" s="6" t="inlineStr">
        <is>
          <t>LeetCode</t>
        </is>
      </c>
      <c r="D26" s="7" t="inlineStr">
        <is>
          <t>Open</t>
        </is>
      </c>
      <c r="E26" s="6" t="inlineStr">
        <is>
          <t>Arrays &amp; strings</t>
        </is>
      </c>
      <c r="F26" s="6" t="inlineStr">
        <is>
          <t>Easy</t>
        </is>
      </c>
      <c r="G26" s="6" t="inlineStr">
        <is>
          <t>Optional</t>
        </is>
      </c>
      <c r="H26" s="6" t="n">
        <v>1</v>
      </c>
      <c r="I26" s="8" t="n"/>
      <c r="J26" s="9" t="inlineStr">
        <is>
          <t>Not started</t>
        </is>
      </c>
      <c r="K26" s="6">
        <f>IF(J26="Solved independently","Yes",IF(OR(J26="",J26="Not started"),"","No"))</f>
        <v/>
      </c>
      <c r="L26" s="9" t="n"/>
      <c r="M26" s="9" t="n"/>
      <c r="N26" s="9" t="n"/>
      <c r="O26" s="9" t="n"/>
      <c r="P26" s="10" t="n"/>
      <c r="Q26" s="9" t="n"/>
      <c r="R26" s="8" t="n"/>
      <c r="S26" s="11">
        <f>IF(R26="","",R26+IF(T26=0,3,IF(T26=1,7,IF(T26=2,21,45))))</f>
        <v/>
      </c>
      <c r="T26" s="9" t="n"/>
      <c r="U26" s="6">
        <f>IF(B26="","",LOWER(TRIM(B26)))</f>
        <v/>
      </c>
      <c r="V26" s="6">
        <f>IF(AND(U26&lt;&gt;"",OR(J26="Solved independently",J26="Solved with hints",J26="Solved after viewing solution"),COUNTIFS($U$2:U25,U26,$V$2:V25,1)=0),1,0)</f>
        <v/>
      </c>
      <c r="W26" s="6">
        <f>IF(AND(U26&lt;&gt;"",COUNTIF($U$2:$U$300,U26)&gt;1),"DUPLICATE KEY","")</f>
        <v/>
      </c>
    </row>
    <row r="27">
      <c r="A27" s="6" t="n">
        <v>26</v>
      </c>
      <c r="B27" s="6" t="inlineStr">
        <is>
          <t>Product of Array Except Self</t>
        </is>
      </c>
      <c r="C27" s="6" t="inlineStr">
        <is>
          <t>LeetCode</t>
        </is>
      </c>
      <c r="D27" s="7" t="inlineStr">
        <is>
          <t>Open</t>
        </is>
      </c>
      <c r="E27" s="6" t="inlineStr">
        <is>
          <t>Arrays &amp; strings</t>
        </is>
      </c>
      <c r="F27" s="6" t="inlineStr">
        <is>
          <t>Medium</t>
        </is>
      </c>
      <c r="G27" s="6" t="inlineStr">
        <is>
          <t>Essential</t>
        </is>
      </c>
      <c r="H27" s="6" t="n">
        <v>1</v>
      </c>
      <c r="I27" s="8" t="n"/>
      <c r="J27" s="9" t="inlineStr">
        <is>
          <t>Not started</t>
        </is>
      </c>
      <c r="K27" s="6">
        <f>IF(J27="Solved independently","Yes",IF(OR(J27="",J27="Not started"),"","No"))</f>
        <v/>
      </c>
      <c r="L27" s="9" t="n"/>
      <c r="M27" s="9" t="n"/>
      <c r="N27" s="9" t="n"/>
      <c r="O27" s="9" t="n"/>
      <c r="P27" s="10" t="n"/>
      <c r="Q27" s="9" t="n"/>
      <c r="R27" s="8" t="n"/>
      <c r="S27" s="11">
        <f>IF(R27="","",R27+IF(T27=0,3,IF(T27=1,7,IF(T27=2,21,45))))</f>
        <v/>
      </c>
      <c r="T27" s="9" t="n"/>
      <c r="U27" s="6">
        <f>IF(B27="","",LOWER(TRIM(B27)))</f>
        <v/>
      </c>
      <c r="V27" s="6">
        <f>IF(AND(U27&lt;&gt;"",OR(J27="Solved independently",J27="Solved with hints",J27="Solved after viewing solution"),COUNTIFS($U$2:U26,U27,$V$2:V26,1)=0),1,0)</f>
        <v/>
      </c>
      <c r="W27" s="6">
        <f>IF(AND(U27&lt;&gt;"",COUNTIF($U$2:$U$300,U27)&gt;1),"DUPLICATE KEY","")</f>
        <v/>
      </c>
    </row>
    <row r="28">
      <c r="A28" s="6" t="n">
        <v>27</v>
      </c>
      <c r="B28" s="6" t="inlineStr">
        <is>
          <t>Two Sum</t>
        </is>
      </c>
      <c r="C28" s="6" t="inlineStr">
        <is>
          <t>LeetCode</t>
        </is>
      </c>
      <c r="D28" s="7" t="inlineStr">
        <is>
          <t>Open</t>
        </is>
      </c>
      <c r="E28" s="6" t="inlineStr">
        <is>
          <t>Hashing &amp; frequency counting</t>
        </is>
      </c>
      <c r="F28" s="6" t="inlineStr">
        <is>
          <t>Easy</t>
        </is>
      </c>
      <c r="G28" s="6" t="inlineStr">
        <is>
          <t>Essential</t>
        </is>
      </c>
      <c r="H28" s="6" t="n">
        <v>2</v>
      </c>
      <c r="I28" s="8" t="n"/>
      <c r="J28" s="9" t="inlineStr">
        <is>
          <t>Not started</t>
        </is>
      </c>
      <c r="K28" s="6">
        <f>IF(J28="Solved independently","Yes",IF(OR(J28="",J28="Not started"),"","No"))</f>
        <v/>
      </c>
      <c r="L28" s="9" t="n"/>
      <c r="M28" s="9" t="n"/>
      <c r="N28" s="9" t="n"/>
      <c r="O28" s="9" t="n"/>
      <c r="P28" s="10" t="n"/>
      <c r="Q28" s="9" t="n"/>
      <c r="R28" s="8" t="n"/>
      <c r="S28" s="11">
        <f>IF(R28="","",R28+IF(T28=0,3,IF(T28=1,7,IF(T28=2,21,45))))</f>
        <v/>
      </c>
      <c r="T28" s="9" t="n"/>
      <c r="U28" s="6">
        <f>IF(B28="","",LOWER(TRIM(B28)))</f>
        <v/>
      </c>
      <c r="V28" s="6">
        <f>IF(AND(U28&lt;&gt;"",OR(J28="Solved independently",J28="Solved with hints",J28="Solved after viewing solution"),COUNTIFS($U$2:U27,U28,$V$2:V27,1)=0),1,0)</f>
        <v/>
      </c>
      <c r="W28" s="6">
        <f>IF(AND(U28&lt;&gt;"",COUNTIF($U$2:$U$300,U28)&gt;1),"DUPLICATE KEY","")</f>
        <v/>
      </c>
    </row>
    <row r="29">
      <c r="A29" s="6" t="n">
        <v>28</v>
      </c>
      <c r="B29" s="6" t="inlineStr">
        <is>
          <t>Valid Anagram</t>
        </is>
      </c>
      <c r="C29" s="6" t="inlineStr">
        <is>
          <t>LeetCode</t>
        </is>
      </c>
      <c r="D29" s="7" t="inlineStr">
        <is>
          <t>Open</t>
        </is>
      </c>
      <c r="E29" s="6" t="inlineStr">
        <is>
          <t>Hashing &amp; frequency counting</t>
        </is>
      </c>
      <c r="F29" s="6" t="inlineStr">
        <is>
          <t>Easy</t>
        </is>
      </c>
      <c r="G29" s="6" t="inlineStr">
        <is>
          <t>Essential</t>
        </is>
      </c>
      <c r="H29" s="6" t="n">
        <v>2</v>
      </c>
      <c r="I29" s="8" t="n"/>
      <c r="J29" s="9" t="inlineStr">
        <is>
          <t>Not started</t>
        </is>
      </c>
      <c r="K29" s="6">
        <f>IF(J29="Solved independently","Yes",IF(OR(J29="",J29="Not started"),"","No"))</f>
        <v/>
      </c>
      <c r="L29" s="9" t="n"/>
      <c r="M29" s="9" t="n"/>
      <c r="N29" s="9" t="n"/>
      <c r="O29" s="9" t="n"/>
      <c r="P29" s="10" t="n"/>
      <c r="Q29" s="9" t="n"/>
      <c r="R29" s="8" t="n"/>
      <c r="S29" s="11">
        <f>IF(R29="","",R29+IF(T29=0,3,IF(T29=1,7,IF(T29=2,21,45))))</f>
        <v/>
      </c>
      <c r="T29" s="9" t="n"/>
      <c r="U29" s="6">
        <f>IF(B29="","",LOWER(TRIM(B29)))</f>
        <v/>
      </c>
      <c r="V29" s="6">
        <f>IF(AND(U29&lt;&gt;"",OR(J29="Solved independently",J29="Solved with hints",J29="Solved after viewing solution"),COUNTIFS($U$2:U28,U29,$V$2:V28,1)=0),1,0)</f>
        <v/>
      </c>
      <c r="W29" s="6">
        <f>IF(AND(U29&lt;&gt;"",COUNTIF($U$2:$U$300,U29)&gt;1),"DUPLICATE KEY","")</f>
        <v/>
      </c>
    </row>
    <row r="30">
      <c r="A30" s="6" t="n">
        <v>29</v>
      </c>
      <c r="B30" s="6" t="inlineStr">
        <is>
          <t>Ransom Note</t>
        </is>
      </c>
      <c r="C30" s="6" t="inlineStr">
        <is>
          <t>LeetCode</t>
        </is>
      </c>
      <c r="D30" s="7" t="inlineStr">
        <is>
          <t>Open</t>
        </is>
      </c>
      <c r="E30" s="6" t="inlineStr">
        <is>
          <t>Hashing &amp; frequency counting</t>
        </is>
      </c>
      <c r="F30" s="6" t="inlineStr">
        <is>
          <t>Easy</t>
        </is>
      </c>
      <c r="G30" s="6" t="inlineStr">
        <is>
          <t>Recommended</t>
        </is>
      </c>
      <c r="H30" s="6" t="n">
        <v>2</v>
      </c>
      <c r="I30" s="8" t="n"/>
      <c r="J30" s="9" t="inlineStr">
        <is>
          <t>Not started</t>
        </is>
      </c>
      <c r="K30" s="6">
        <f>IF(J30="Solved independently","Yes",IF(OR(J30="",J30="Not started"),"","No"))</f>
        <v/>
      </c>
      <c r="L30" s="9" t="n"/>
      <c r="M30" s="9" t="n"/>
      <c r="N30" s="9" t="n"/>
      <c r="O30" s="9" t="n"/>
      <c r="P30" s="10" t="n"/>
      <c r="Q30" s="9" t="n"/>
      <c r="R30" s="8" t="n"/>
      <c r="S30" s="11">
        <f>IF(R30="","",R30+IF(T30=0,3,IF(T30=1,7,IF(T30=2,21,45))))</f>
        <v/>
      </c>
      <c r="T30" s="9" t="n"/>
      <c r="U30" s="6">
        <f>IF(B30="","",LOWER(TRIM(B30)))</f>
        <v/>
      </c>
      <c r="V30" s="6">
        <f>IF(AND(U30&lt;&gt;"",OR(J30="Solved independently",J30="Solved with hints",J30="Solved after viewing solution"),COUNTIFS($U$2:U29,U30,$V$2:V29,1)=0),1,0)</f>
        <v/>
      </c>
      <c r="W30" s="6">
        <f>IF(AND(U30&lt;&gt;"",COUNTIF($U$2:$U$300,U30)&gt;1),"DUPLICATE KEY","")</f>
        <v/>
      </c>
    </row>
    <row r="31">
      <c r="A31" s="6" t="n">
        <v>30</v>
      </c>
      <c r="B31" s="6" t="inlineStr">
        <is>
          <t>First Unique Character in a String</t>
        </is>
      </c>
      <c r="C31" s="6" t="inlineStr">
        <is>
          <t>LeetCode</t>
        </is>
      </c>
      <c r="D31" s="7" t="inlineStr">
        <is>
          <t>Open</t>
        </is>
      </c>
      <c r="E31" s="6" t="inlineStr">
        <is>
          <t>Hashing &amp; frequency counting</t>
        </is>
      </c>
      <c r="F31" s="6" t="inlineStr">
        <is>
          <t>Easy</t>
        </is>
      </c>
      <c r="G31" s="6" t="inlineStr">
        <is>
          <t>Recommended</t>
        </is>
      </c>
      <c r="H31" s="6" t="n">
        <v>2</v>
      </c>
      <c r="I31" s="8" t="n"/>
      <c r="J31" s="9" t="inlineStr">
        <is>
          <t>Not started</t>
        </is>
      </c>
      <c r="K31" s="6">
        <f>IF(J31="Solved independently","Yes",IF(OR(J31="",J31="Not started"),"","No"))</f>
        <v/>
      </c>
      <c r="L31" s="9" t="n"/>
      <c r="M31" s="9" t="n"/>
      <c r="N31" s="9" t="n"/>
      <c r="O31" s="9" t="n"/>
      <c r="P31" s="10" t="n"/>
      <c r="Q31" s="9" t="n"/>
      <c r="R31" s="8" t="n"/>
      <c r="S31" s="11">
        <f>IF(R31="","",R31+IF(T31=0,3,IF(T31=1,7,IF(T31=2,21,45))))</f>
        <v/>
      </c>
      <c r="T31" s="9" t="n"/>
      <c r="U31" s="6">
        <f>IF(B31="","",LOWER(TRIM(B31)))</f>
        <v/>
      </c>
      <c r="V31" s="6">
        <f>IF(AND(U31&lt;&gt;"",OR(J31="Solved independently",J31="Solved with hints",J31="Solved after viewing solution"),COUNTIFS($U$2:U30,U31,$V$2:V30,1)=0),1,0)</f>
        <v/>
      </c>
      <c r="W31" s="6">
        <f>IF(AND(U31&lt;&gt;"",COUNTIF($U$2:$U$300,U31)&gt;1),"DUPLICATE KEY","")</f>
        <v/>
      </c>
    </row>
    <row r="32">
      <c r="A32" s="6" t="n">
        <v>31</v>
      </c>
      <c r="B32" s="6" t="inlineStr">
        <is>
          <t>Isomorphic Strings</t>
        </is>
      </c>
      <c r="C32" s="6" t="inlineStr">
        <is>
          <t>LeetCode</t>
        </is>
      </c>
      <c r="D32" s="7" t="inlineStr">
        <is>
          <t>Open</t>
        </is>
      </c>
      <c r="E32" s="6" t="inlineStr">
        <is>
          <t>Hashing &amp; frequency counting</t>
        </is>
      </c>
      <c r="F32" s="6" t="inlineStr">
        <is>
          <t>Easy</t>
        </is>
      </c>
      <c r="G32" s="6" t="inlineStr">
        <is>
          <t>Recommended</t>
        </is>
      </c>
      <c r="H32" s="6" t="n">
        <v>2</v>
      </c>
      <c r="I32" s="8" t="n"/>
      <c r="J32" s="9" t="inlineStr">
        <is>
          <t>Not started</t>
        </is>
      </c>
      <c r="K32" s="6">
        <f>IF(J32="Solved independently","Yes",IF(OR(J32="",J32="Not started"),"","No"))</f>
        <v/>
      </c>
      <c r="L32" s="9" t="n"/>
      <c r="M32" s="9" t="n"/>
      <c r="N32" s="9" t="n"/>
      <c r="O32" s="9" t="n"/>
      <c r="P32" s="10" t="n"/>
      <c r="Q32" s="9" t="n"/>
      <c r="R32" s="8" t="n"/>
      <c r="S32" s="11">
        <f>IF(R32="","",R32+IF(T32=0,3,IF(T32=1,7,IF(T32=2,21,45))))</f>
        <v/>
      </c>
      <c r="T32" s="9" t="n"/>
      <c r="U32" s="6">
        <f>IF(B32="","",LOWER(TRIM(B32)))</f>
        <v/>
      </c>
      <c r="V32" s="6">
        <f>IF(AND(U32&lt;&gt;"",OR(J32="Solved independently",J32="Solved with hints",J32="Solved after viewing solution"),COUNTIFS($U$2:U31,U32,$V$2:V31,1)=0),1,0)</f>
        <v/>
      </c>
      <c r="W32" s="6">
        <f>IF(AND(U32&lt;&gt;"",COUNTIF($U$2:$U$300,U32)&gt;1),"DUPLICATE KEY","")</f>
        <v/>
      </c>
    </row>
    <row r="33">
      <c r="A33" s="6" t="n">
        <v>32</v>
      </c>
      <c r="B33" s="6" t="inlineStr">
        <is>
          <t>Single Number</t>
        </is>
      </c>
      <c r="C33" s="6" t="inlineStr">
        <is>
          <t>LeetCode</t>
        </is>
      </c>
      <c r="D33" s="7" t="inlineStr">
        <is>
          <t>Open</t>
        </is>
      </c>
      <c r="E33" s="6" t="inlineStr">
        <is>
          <t>Hashing &amp; frequency counting</t>
        </is>
      </c>
      <c r="F33" s="6" t="inlineStr">
        <is>
          <t>Easy</t>
        </is>
      </c>
      <c r="G33" s="6" t="inlineStr">
        <is>
          <t>Essential</t>
        </is>
      </c>
      <c r="H33" s="6" t="n">
        <v>2</v>
      </c>
      <c r="I33" s="8" t="n"/>
      <c r="J33" s="9" t="inlineStr">
        <is>
          <t>Not started</t>
        </is>
      </c>
      <c r="K33" s="6">
        <f>IF(J33="Solved independently","Yes",IF(OR(J33="",J33="Not started"),"","No"))</f>
        <v/>
      </c>
      <c r="L33" s="9" t="n"/>
      <c r="M33" s="9" t="n"/>
      <c r="N33" s="9" t="n"/>
      <c r="O33" s="9" t="n"/>
      <c r="P33" s="10" t="n"/>
      <c r="Q33" s="9" t="n"/>
      <c r="R33" s="8" t="n"/>
      <c r="S33" s="11">
        <f>IF(R33="","",R33+IF(T33=0,3,IF(T33=1,7,IF(T33=2,21,45))))</f>
        <v/>
      </c>
      <c r="T33" s="9" t="n"/>
      <c r="U33" s="6">
        <f>IF(B33="","",LOWER(TRIM(B33)))</f>
        <v/>
      </c>
      <c r="V33" s="6">
        <f>IF(AND(U33&lt;&gt;"",OR(J33="Solved independently",J33="Solved with hints",J33="Solved after viewing solution"),COUNTIFS($U$2:U32,U33,$V$2:V32,1)=0),1,0)</f>
        <v/>
      </c>
      <c r="W33" s="6">
        <f>IF(AND(U33&lt;&gt;"",COUNTIF($U$2:$U$300,U33)&gt;1),"DUPLICATE KEY","")</f>
        <v/>
      </c>
    </row>
    <row r="34">
      <c r="A34" s="6" t="n">
        <v>33</v>
      </c>
      <c r="B34" s="6" t="inlineStr">
        <is>
          <t>Missing Number</t>
        </is>
      </c>
      <c r="C34" s="6" t="inlineStr">
        <is>
          <t>LeetCode</t>
        </is>
      </c>
      <c r="D34" s="7" t="inlineStr">
        <is>
          <t>Open</t>
        </is>
      </c>
      <c r="E34" s="6" t="inlineStr">
        <is>
          <t>Hashing &amp; frequency counting</t>
        </is>
      </c>
      <c r="F34" s="6" t="inlineStr">
        <is>
          <t>Easy</t>
        </is>
      </c>
      <c r="G34" s="6" t="inlineStr">
        <is>
          <t>Recommended</t>
        </is>
      </c>
      <c r="H34" s="6" t="n">
        <v>2</v>
      </c>
      <c r="I34" s="8" t="n"/>
      <c r="J34" s="9" t="inlineStr">
        <is>
          <t>Not started</t>
        </is>
      </c>
      <c r="K34" s="6">
        <f>IF(J34="Solved independently","Yes",IF(OR(J34="",J34="Not started"),"","No"))</f>
        <v/>
      </c>
      <c r="L34" s="9" t="n"/>
      <c r="M34" s="9" t="n"/>
      <c r="N34" s="9" t="n"/>
      <c r="O34" s="9" t="n"/>
      <c r="P34" s="10" t="n"/>
      <c r="Q34" s="9" t="n"/>
      <c r="R34" s="8" t="n"/>
      <c r="S34" s="11">
        <f>IF(R34="","",R34+IF(T34=0,3,IF(T34=1,7,IF(T34=2,21,45))))</f>
        <v/>
      </c>
      <c r="T34" s="9" t="n"/>
      <c r="U34" s="6">
        <f>IF(B34="","",LOWER(TRIM(B34)))</f>
        <v/>
      </c>
      <c r="V34" s="6">
        <f>IF(AND(U34&lt;&gt;"",OR(J34="Solved independently",J34="Solved with hints",J34="Solved after viewing solution"),COUNTIFS($U$2:U33,U34,$V$2:V33,1)=0),1,0)</f>
        <v/>
      </c>
      <c r="W34" s="6">
        <f>IF(AND(U34&lt;&gt;"",COUNTIF($U$2:$U$300,U34)&gt;1),"DUPLICATE KEY","")</f>
        <v/>
      </c>
    </row>
    <row r="35">
      <c r="A35" s="6" t="n">
        <v>34</v>
      </c>
      <c r="B35" s="6" t="inlineStr">
        <is>
          <t>Group Anagrams</t>
        </is>
      </c>
      <c r="C35" s="6" t="inlineStr">
        <is>
          <t>LeetCode</t>
        </is>
      </c>
      <c r="D35" s="7" t="inlineStr">
        <is>
          <t>Open</t>
        </is>
      </c>
      <c r="E35" s="6" t="inlineStr">
        <is>
          <t>Hashing &amp; frequency counting</t>
        </is>
      </c>
      <c r="F35" s="6" t="inlineStr">
        <is>
          <t>Medium</t>
        </is>
      </c>
      <c r="G35" s="6" t="inlineStr">
        <is>
          <t>Essential</t>
        </is>
      </c>
      <c r="H35" s="6" t="n">
        <v>2</v>
      </c>
      <c r="I35" s="8" t="n"/>
      <c r="J35" s="9" t="inlineStr">
        <is>
          <t>Not started</t>
        </is>
      </c>
      <c r="K35" s="6">
        <f>IF(J35="Solved independently","Yes",IF(OR(J35="",J35="Not started"),"","No"))</f>
        <v/>
      </c>
      <c r="L35" s="9" t="n"/>
      <c r="M35" s="9" t="n"/>
      <c r="N35" s="9" t="n"/>
      <c r="O35" s="9" t="n"/>
      <c r="P35" s="10" t="n"/>
      <c r="Q35" s="9" t="n"/>
      <c r="R35" s="8" t="n"/>
      <c r="S35" s="11">
        <f>IF(R35="","",R35+IF(T35=0,3,IF(T35=1,7,IF(T35=2,21,45))))</f>
        <v/>
      </c>
      <c r="T35" s="9" t="n"/>
      <c r="U35" s="6">
        <f>IF(B35="","",LOWER(TRIM(B35)))</f>
        <v/>
      </c>
      <c r="V35" s="6">
        <f>IF(AND(U35&lt;&gt;"",OR(J35="Solved independently",J35="Solved with hints",J35="Solved after viewing solution"),COUNTIFS($U$2:U34,U35,$V$2:V34,1)=0),1,0)</f>
        <v/>
      </c>
      <c r="W35" s="6">
        <f>IF(AND(U35&lt;&gt;"",COUNTIF($U$2:$U$300,U35)&gt;1),"DUPLICATE KEY","")</f>
        <v/>
      </c>
    </row>
    <row r="36">
      <c r="A36" s="6" t="n">
        <v>35</v>
      </c>
      <c r="B36" s="6" t="inlineStr">
        <is>
          <t>Top K Frequent Elements</t>
        </is>
      </c>
      <c r="C36" s="6" t="inlineStr">
        <is>
          <t>LeetCode</t>
        </is>
      </c>
      <c r="D36" s="7" t="inlineStr">
        <is>
          <t>Open</t>
        </is>
      </c>
      <c r="E36" s="6" t="inlineStr">
        <is>
          <t>Hashing &amp; frequency counting</t>
        </is>
      </c>
      <c r="F36" s="6" t="inlineStr">
        <is>
          <t>Medium</t>
        </is>
      </c>
      <c r="G36" s="6" t="inlineStr">
        <is>
          <t>Essential</t>
        </is>
      </c>
      <c r="H36" s="6" t="n">
        <v>2</v>
      </c>
      <c r="I36" s="8" t="n"/>
      <c r="J36" s="9" t="inlineStr">
        <is>
          <t>Not started</t>
        </is>
      </c>
      <c r="K36" s="6">
        <f>IF(J36="Solved independently","Yes",IF(OR(J36="",J36="Not started"),"","No"))</f>
        <v/>
      </c>
      <c r="L36" s="9" t="n"/>
      <c r="M36" s="9" t="n"/>
      <c r="N36" s="9" t="n"/>
      <c r="O36" s="9" t="n"/>
      <c r="P36" s="10" t="n"/>
      <c r="Q36" s="9" t="n"/>
      <c r="R36" s="8" t="n"/>
      <c r="S36" s="11">
        <f>IF(R36="","",R36+IF(T36=0,3,IF(T36=1,7,IF(T36=2,21,45))))</f>
        <v/>
      </c>
      <c r="T36" s="9" t="n"/>
      <c r="U36" s="6">
        <f>IF(B36="","",LOWER(TRIM(B36)))</f>
        <v/>
      </c>
      <c r="V36" s="6">
        <f>IF(AND(U36&lt;&gt;"",OR(J36="Solved independently",J36="Solved with hints",J36="Solved after viewing solution"),COUNTIFS($U$2:U35,U36,$V$2:V35,1)=0),1,0)</f>
        <v/>
      </c>
      <c r="W36" s="6">
        <f>IF(AND(U36&lt;&gt;"",COUNTIF($U$2:$U$300,U36)&gt;1),"DUPLICATE KEY","")</f>
        <v/>
      </c>
    </row>
    <row r="37">
      <c r="A37" s="6" t="n">
        <v>36</v>
      </c>
      <c r="B37" s="6" t="inlineStr">
        <is>
          <t>Longest Consecutive Sequence</t>
        </is>
      </c>
      <c r="C37" s="6" t="inlineStr">
        <is>
          <t>LeetCode</t>
        </is>
      </c>
      <c r="D37" s="7" t="inlineStr">
        <is>
          <t>Open</t>
        </is>
      </c>
      <c r="E37" s="6" t="inlineStr">
        <is>
          <t>Hashing &amp; frequency counting</t>
        </is>
      </c>
      <c r="F37" s="6" t="inlineStr">
        <is>
          <t>Medium</t>
        </is>
      </c>
      <c r="G37" s="6" t="inlineStr">
        <is>
          <t>Essential</t>
        </is>
      </c>
      <c r="H37" s="6" t="n">
        <v>2</v>
      </c>
      <c r="I37" s="8" t="n"/>
      <c r="J37" s="9" t="inlineStr">
        <is>
          <t>Not started</t>
        </is>
      </c>
      <c r="K37" s="6">
        <f>IF(J37="Solved independently","Yes",IF(OR(J37="",J37="Not started"),"","No"))</f>
        <v/>
      </c>
      <c r="L37" s="9" t="n"/>
      <c r="M37" s="9" t="n"/>
      <c r="N37" s="9" t="n"/>
      <c r="O37" s="9" t="n"/>
      <c r="P37" s="10" t="n"/>
      <c r="Q37" s="9" t="n"/>
      <c r="R37" s="8" t="n"/>
      <c r="S37" s="11">
        <f>IF(R37="","",R37+IF(T37=0,3,IF(T37=1,7,IF(T37=2,21,45))))</f>
        <v/>
      </c>
      <c r="T37" s="9" t="n"/>
      <c r="U37" s="6">
        <f>IF(B37="","",LOWER(TRIM(B37)))</f>
        <v/>
      </c>
      <c r="V37" s="6">
        <f>IF(AND(U37&lt;&gt;"",OR(J37="Solved independently",J37="Solved with hints",J37="Solved after viewing solution"),COUNTIFS($U$2:U36,U37,$V$2:V36,1)=0),1,0)</f>
        <v/>
      </c>
      <c r="W37" s="6">
        <f>IF(AND(U37&lt;&gt;"",COUNTIF($U$2:$U$300,U37)&gt;1),"DUPLICATE KEY","")</f>
        <v/>
      </c>
    </row>
    <row r="38">
      <c r="A38" s="6" t="n">
        <v>37</v>
      </c>
      <c r="B38" s="6" t="inlineStr">
        <is>
          <t>Subarray Sum Equals K</t>
        </is>
      </c>
      <c r="C38" s="6" t="inlineStr">
        <is>
          <t>LeetCode</t>
        </is>
      </c>
      <c r="D38" s="7" t="inlineStr">
        <is>
          <t>Open</t>
        </is>
      </c>
      <c r="E38" s="6" t="inlineStr">
        <is>
          <t>Hashing &amp; frequency counting</t>
        </is>
      </c>
      <c r="F38" s="6" t="inlineStr">
        <is>
          <t>Medium</t>
        </is>
      </c>
      <c r="G38" s="6" t="inlineStr">
        <is>
          <t>Essential</t>
        </is>
      </c>
      <c r="H38" s="6" t="n">
        <v>2</v>
      </c>
      <c r="I38" s="8" t="n"/>
      <c r="J38" s="9" t="inlineStr">
        <is>
          <t>Not started</t>
        </is>
      </c>
      <c r="K38" s="6">
        <f>IF(J38="Solved independently","Yes",IF(OR(J38="",J38="Not started"),"","No"))</f>
        <v/>
      </c>
      <c r="L38" s="9" t="n"/>
      <c r="M38" s="9" t="n"/>
      <c r="N38" s="9" t="n"/>
      <c r="O38" s="9" t="n"/>
      <c r="P38" s="10" t="n"/>
      <c r="Q38" s="9" t="n"/>
      <c r="R38" s="8" t="n"/>
      <c r="S38" s="11">
        <f>IF(R38="","",R38+IF(T38=0,3,IF(T38=1,7,IF(T38=2,21,45))))</f>
        <v/>
      </c>
      <c r="T38" s="9" t="n"/>
      <c r="U38" s="6">
        <f>IF(B38="","",LOWER(TRIM(B38)))</f>
        <v/>
      </c>
      <c r="V38" s="6">
        <f>IF(AND(U38&lt;&gt;"",OR(J38="Solved independently",J38="Solved with hints",J38="Solved after viewing solution"),COUNTIFS($U$2:U37,U38,$V$2:V37,1)=0),1,0)</f>
        <v/>
      </c>
      <c r="W38" s="6">
        <f>IF(AND(U38&lt;&gt;"",COUNTIF($U$2:$U$300,U38)&gt;1),"DUPLICATE KEY","")</f>
        <v/>
      </c>
    </row>
    <row r="39">
      <c r="A39" s="6" t="n">
        <v>38</v>
      </c>
      <c r="B39" s="6" t="inlineStr">
        <is>
          <t>Contains Duplicate II</t>
        </is>
      </c>
      <c r="C39" s="6" t="inlineStr">
        <is>
          <t>LeetCode</t>
        </is>
      </c>
      <c r="D39" s="7" t="inlineStr">
        <is>
          <t>Open</t>
        </is>
      </c>
      <c r="E39" s="6" t="inlineStr">
        <is>
          <t>Hashing &amp; frequency counting</t>
        </is>
      </c>
      <c r="F39" s="6" t="inlineStr">
        <is>
          <t>Easy</t>
        </is>
      </c>
      <c r="G39" s="6" t="inlineStr">
        <is>
          <t>Optional</t>
        </is>
      </c>
      <c r="H39" s="6" t="n">
        <v>2</v>
      </c>
      <c r="I39" s="8" t="n"/>
      <c r="J39" s="9" t="inlineStr">
        <is>
          <t>Not started</t>
        </is>
      </c>
      <c r="K39" s="6">
        <f>IF(J39="Solved independently","Yes",IF(OR(J39="",J39="Not started"),"","No"))</f>
        <v/>
      </c>
      <c r="L39" s="9" t="n"/>
      <c r="M39" s="9" t="n"/>
      <c r="N39" s="9" t="n"/>
      <c r="O39" s="9" t="n"/>
      <c r="P39" s="10" t="n"/>
      <c r="Q39" s="9" t="n"/>
      <c r="R39" s="8" t="n"/>
      <c r="S39" s="11">
        <f>IF(R39="","",R39+IF(T39=0,3,IF(T39=1,7,IF(T39=2,21,45))))</f>
        <v/>
      </c>
      <c r="T39" s="9" t="n"/>
      <c r="U39" s="6">
        <f>IF(B39="","",LOWER(TRIM(B39)))</f>
        <v/>
      </c>
      <c r="V39" s="6">
        <f>IF(AND(U39&lt;&gt;"",OR(J39="Solved independently",J39="Solved with hints",J39="Solved after viewing solution"),COUNTIFS($U$2:U38,U39,$V$2:V38,1)=0),1,0)</f>
        <v/>
      </c>
      <c r="W39" s="6">
        <f>IF(AND(U39&lt;&gt;"",COUNTIF($U$2:$U$300,U39)&gt;1),"DUPLICATE KEY","")</f>
        <v/>
      </c>
    </row>
    <row r="40">
      <c r="A40" s="6" t="n">
        <v>39</v>
      </c>
      <c r="B40" s="6" t="inlineStr">
        <is>
          <t>Happy Number</t>
        </is>
      </c>
      <c r="C40" s="6" t="inlineStr">
        <is>
          <t>LeetCode</t>
        </is>
      </c>
      <c r="D40" s="7" t="inlineStr">
        <is>
          <t>Open</t>
        </is>
      </c>
      <c r="E40" s="6" t="inlineStr">
        <is>
          <t>Hashing &amp; frequency counting</t>
        </is>
      </c>
      <c r="F40" s="6" t="inlineStr">
        <is>
          <t>Easy</t>
        </is>
      </c>
      <c r="G40" s="6" t="inlineStr">
        <is>
          <t>Optional</t>
        </is>
      </c>
      <c r="H40" s="6" t="n">
        <v>2</v>
      </c>
      <c r="I40" s="8" t="n"/>
      <c r="J40" s="9" t="inlineStr">
        <is>
          <t>Not started</t>
        </is>
      </c>
      <c r="K40" s="6">
        <f>IF(J40="Solved independently","Yes",IF(OR(J40="",J40="Not started"),"","No"))</f>
        <v/>
      </c>
      <c r="L40" s="9" t="n"/>
      <c r="M40" s="9" t="n"/>
      <c r="N40" s="9" t="n"/>
      <c r="O40" s="9" t="n"/>
      <c r="P40" s="10" t="n"/>
      <c r="Q40" s="9" t="n"/>
      <c r="R40" s="8" t="n"/>
      <c r="S40" s="11">
        <f>IF(R40="","",R40+IF(T40=0,3,IF(T40=1,7,IF(T40=2,21,45))))</f>
        <v/>
      </c>
      <c r="T40" s="9" t="n"/>
      <c r="U40" s="6">
        <f>IF(B40="","",LOWER(TRIM(B40)))</f>
        <v/>
      </c>
      <c r="V40" s="6">
        <f>IF(AND(U40&lt;&gt;"",OR(J40="Solved independently",J40="Solved with hints",J40="Solved after viewing solution"),COUNTIFS($U$2:U39,U40,$V$2:V39,1)=0),1,0)</f>
        <v/>
      </c>
      <c r="W40" s="6">
        <f>IF(AND(U40&lt;&gt;"",COUNTIF($U$2:$U$300,U40)&gt;1),"DUPLICATE KEY","")</f>
        <v/>
      </c>
    </row>
    <row r="41">
      <c r="A41" s="6" t="n">
        <v>40</v>
      </c>
      <c r="B41" s="6" t="inlineStr">
        <is>
          <t>Lonely Integer</t>
        </is>
      </c>
      <c r="C41" s="6" t="inlineStr">
        <is>
          <t>HackerRank</t>
        </is>
      </c>
      <c r="D41" s="7" t="inlineStr">
        <is>
          <t>Open</t>
        </is>
      </c>
      <c r="E41" s="6" t="inlineStr">
        <is>
          <t>Hashing &amp; frequency counting</t>
        </is>
      </c>
      <c r="F41" s="6" t="inlineStr">
        <is>
          <t>Easy</t>
        </is>
      </c>
      <c r="G41" s="6" t="inlineStr">
        <is>
          <t>Optional</t>
        </is>
      </c>
      <c r="H41" s="6" t="n">
        <v>2</v>
      </c>
      <c r="I41" s="8" t="n"/>
      <c r="J41" s="9" t="inlineStr">
        <is>
          <t>Not started</t>
        </is>
      </c>
      <c r="K41" s="6">
        <f>IF(J41="Solved independently","Yes",IF(OR(J41="",J41="Not started"),"","No"))</f>
        <v/>
      </c>
      <c r="L41" s="9" t="n"/>
      <c r="M41" s="9" t="n"/>
      <c r="N41" s="9" t="n"/>
      <c r="O41" s="9" t="n"/>
      <c r="P41" s="10" t="n"/>
      <c r="Q41" s="9" t="n"/>
      <c r="R41" s="8" t="n"/>
      <c r="S41" s="11">
        <f>IF(R41="","",R41+IF(T41=0,3,IF(T41=1,7,IF(T41=2,21,45))))</f>
        <v/>
      </c>
      <c r="T41" s="9" t="n"/>
      <c r="U41" s="6">
        <f>IF(B41="","",LOWER(TRIM(B41)))</f>
        <v/>
      </c>
      <c r="V41" s="6">
        <f>IF(AND(U41&lt;&gt;"",OR(J41="Solved independently",J41="Solved with hints",J41="Solved after viewing solution"),COUNTIFS($U$2:U40,U41,$V$2:V40,1)=0),1,0)</f>
        <v/>
      </c>
      <c r="W41" s="6">
        <f>IF(AND(U41&lt;&gt;"",COUNTIF($U$2:$U$300,U41)&gt;1),"DUPLICATE KEY","")</f>
        <v/>
      </c>
    </row>
    <row r="42">
      <c r="A42" s="6" t="n">
        <v>41</v>
      </c>
      <c r="B42" s="6" t="inlineStr">
        <is>
          <t>Two Strings</t>
        </is>
      </c>
      <c r="C42" s="6" t="inlineStr">
        <is>
          <t>HackerRank</t>
        </is>
      </c>
      <c r="D42" s="7" t="inlineStr">
        <is>
          <t>Open</t>
        </is>
      </c>
      <c r="E42" s="6" t="inlineStr">
        <is>
          <t>Hashing &amp; frequency counting</t>
        </is>
      </c>
      <c r="F42" s="6" t="inlineStr">
        <is>
          <t>Easy</t>
        </is>
      </c>
      <c r="G42" s="6" t="inlineStr">
        <is>
          <t>Optional</t>
        </is>
      </c>
      <c r="H42" s="6" t="n">
        <v>2</v>
      </c>
      <c r="I42" s="8" t="n"/>
      <c r="J42" s="9" t="inlineStr">
        <is>
          <t>Not started</t>
        </is>
      </c>
      <c r="K42" s="6">
        <f>IF(J42="Solved independently","Yes",IF(OR(J42="",J42="Not started"),"","No"))</f>
        <v/>
      </c>
      <c r="L42" s="9" t="n"/>
      <c r="M42" s="9" t="n"/>
      <c r="N42" s="9" t="n"/>
      <c r="O42" s="9" t="n"/>
      <c r="P42" s="10" t="n"/>
      <c r="Q42" s="9" t="n"/>
      <c r="R42" s="8" t="n"/>
      <c r="S42" s="11">
        <f>IF(R42="","",R42+IF(T42=0,3,IF(T42=1,7,IF(T42=2,21,45))))</f>
        <v/>
      </c>
      <c r="T42" s="9" t="n"/>
      <c r="U42" s="6">
        <f>IF(B42="","",LOWER(TRIM(B42)))</f>
        <v/>
      </c>
      <c r="V42" s="6">
        <f>IF(AND(U42&lt;&gt;"",OR(J42="Solved independently",J42="Solved with hints",J42="Solved after viewing solution"),COUNTIFS($U$2:U41,U42,$V$2:V41,1)=0),1,0)</f>
        <v/>
      </c>
      <c r="W42" s="6">
        <f>IF(AND(U42&lt;&gt;"",COUNTIF($U$2:$U$300,U42)&gt;1),"DUPLICATE KEY","")</f>
        <v/>
      </c>
    </row>
    <row r="43">
      <c r="A43" s="6" t="n">
        <v>42</v>
      </c>
      <c r="B43" s="6" t="inlineStr">
        <is>
          <t>Sparse Arrays</t>
        </is>
      </c>
      <c r="C43" s="6" t="inlineStr">
        <is>
          <t>HackerRank</t>
        </is>
      </c>
      <c r="D43" s="7" t="inlineStr">
        <is>
          <t>Open</t>
        </is>
      </c>
      <c r="E43" s="6" t="inlineStr">
        <is>
          <t>Hashing &amp; frequency counting</t>
        </is>
      </c>
      <c r="F43" s="6" t="inlineStr">
        <is>
          <t>Medium</t>
        </is>
      </c>
      <c r="G43" s="6" t="inlineStr">
        <is>
          <t>Optional</t>
        </is>
      </c>
      <c r="H43" s="6" t="n">
        <v>2</v>
      </c>
      <c r="I43" s="8" t="n"/>
      <c r="J43" s="9" t="inlineStr">
        <is>
          <t>Not started</t>
        </is>
      </c>
      <c r="K43" s="6">
        <f>IF(J43="Solved independently","Yes",IF(OR(J43="",J43="Not started"),"","No"))</f>
        <v/>
      </c>
      <c r="L43" s="9" t="n"/>
      <c r="M43" s="9" t="n"/>
      <c r="N43" s="9" t="n"/>
      <c r="O43" s="9" t="n"/>
      <c r="P43" s="10" t="n"/>
      <c r="Q43" s="9" t="n"/>
      <c r="R43" s="8" t="n"/>
      <c r="S43" s="11">
        <f>IF(R43="","",R43+IF(T43=0,3,IF(T43=1,7,IF(T43=2,21,45))))</f>
        <v/>
      </c>
      <c r="T43" s="9" t="n"/>
      <c r="U43" s="6">
        <f>IF(B43="","",LOWER(TRIM(B43)))</f>
        <v/>
      </c>
      <c r="V43" s="6">
        <f>IF(AND(U43&lt;&gt;"",OR(J43="Solved independently",J43="Solved with hints",J43="Solved after viewing solution"),COUNTIFS($U$2:U42,U43,$V$2:V42,1)=0),1,0)</f>
        <v/>
      </c>
      <c r="W43" s="6">
        <f>IF(AND(U43&lt;&gt;"",COUNTIF($U$2:$U$300,U43)&gt;1),"DUPLICATE KEY","")</f>
        <v/>
      </c>
    </row>
    <row r="44">
      <c r="A44" s="6" t="n">
        <v>43</v>
      </c>
      <c r="B44" s="6" t="inlineStr">
        <is>
          <t>Sherlock and Anagrams</t>
        </is>
      </c>
      <c r="C44" s="6" t="inlineStr">
        <is>
          <t>HackerRank</t>
        </is>
      </c>
      <c r="D44" s="7" t="inlineStr">
        <is>
          <t>Open</t>
        </is>
      </c>
      <c r="E44" s="6" t="inlineStr">
        <is>
          <t>Hashing &amp; frequency counting</t>
        </is>
      </c>
      <c r="F44" s="6" t="inlineStr">
        <is>
          <t>Medium</t>
        </is>
      </c>
      <c r="G44" s="6" t="inlineStr">
        <is>
          <t>Optional</t>
        </is>
      </c>
      <c r="H44" s="6" t="n">
        <v>2</v>
      </c>
      <c r="I44" s="8" t="n"/>
      <c r="J44" s="9" t="inlineStr">
        <is>
          <t>Not started</t>
        </is>
      </c>
      <c r="K44" s="6">
        <f>IF(J44="Solved independently","Yes",IF(OR(J44="",J44="Not started"),"","No"))</f>
        <v/>
      </c>
      <c r="L44" s="9" t="n"/>
      <c r="M44" s="9" t="n"/>
      <c r="N44" s="9" t="n"/>
      <c r="O44" s="9" t="n"/>
      <c r="P44" s="10" t="n"/>
      <c r="Q44" s="9" t="n"/>
      <c r="R44" s="8" t="n"/>
      <c r="S44" s="11">
        <f>IF(R44="","",R44+IF(T44=0,3,IF(T44=1,7,IF(T44=2,21,45))))</f>
        <v/>
      </c>
      <c r="T44" s="9" t="n"/>
      <c r="U44" s="6">
        <f>IF(B44="","",LOWER(TRIM(B44)))</f>
        <v/>
      </c>
      <c r="V44" s="6">
        <f>IF(AND(U44&lt;&gt;"",OR(J44="Solved independently",J44="Solved with hints",J44="Solved after viewing solution"),COUNTIFS($U$2:U43,U44,$V$2:V43,1)=0),1,0)</f>
        <v/>
      </c>
      <c r="W44" s="6">
        <f>IF(AND(U44&lt;&gt;"",COUNTIF($U$2:$U$300,U44)&gt;1),"DUPLICATE KEY","")</f>
        <v/>
      </c>
    </row>
    <row r="45">
      <c r="A45" s="6" t="n">
        <v>44</v>
      </c>
      <c r="B45" s="6" t="inlineStr">
        <is>
          <t>Two Sum II - Input Array Is Sorted</t>
        </is>
      </c>
      <c r="C45" s="6" t="inlineStr">
        <is>
          <t>LeetCode</t>
        </is>
      </c>
      <c r="D45" s="7" t="inlineStr">
        <is>
          <t>Open</t>
        </is>
      </c>
      <c r="E45" s="6" t="inlineStr">
        <is>
          <t>Two pointers</t>
        </is>
      </c>
      <c r="F45" s="6" t="inlineStr">
        <is>
          <t>Medium</t>
        </is>
      </c>
      <c r="G45" s="6" t="inlineStr">
        <is>
          <t>Essential</t>
        </is>
      </c>
      <c r="H45" s="6" t="n">
        <v>2</v>
      </c>
      <c r="I45" s="8" t="n"/>
      <c r="J45" s="9" t="inlineStr">
        <is>
          <t>Not started</t>
        </is>
      </c>
      <c r="K45" s="6">
        <f>IF(J45="Solved independently","Yes",IF(OR(J45="",J45="Not started"),"","No"))</f>
        <v/>
      </c>
      <c r="L45" s="9" t="n"/>
      <c r="M45" s="9" t="n"/>
      <c r="N45" s="9" t="n"/>
      <c r="O45" s="9" t="n"/>
      <c r="P45" s="10" t="n"/>
      <c r="Q45" s="9" t="n"/>
      <c r="R45" s="8" t="n"/>
      <c r="S45" s="11">
        <f>IF(R45="","",R45+IF(T45=0,3,IF(T45=1,7,IF(T45=2,21,45))))</f>
        <v/>
      </c>
      <c r="T45" s="9" t="n"/>
      <c r="U45" s="6">
        <f>IF(B45="","",LOWER(TRIM(B45)))</f>
        <v/>
      </c>
      <c r="V45" s="6">
        <f>IF(AND(U45&lt;&gt;"",OR(J45="Solved independently",J45="Solved with hints",J45="Solved after viewing solution"),COUNTIFS($U$2:U44,U45,$V$2:V44,1)=0),1,0)</f>
        <v/>
      </c>
      <c r="W45" s="6">
        <f>IF(AND(U45&lt;&gt;"",COUNTIF($U$2:$U$300,U45)&gt;1),"DUPLICATE KEY","")</f>
        <v/>
      </c>
    </row>
    <row r="46">
      <c r="A46" s="6" t="n">
        <v>45</v>
      </c>
      <c r="B46" s="6" t="inlineStr">
        <is>
          <t>Valid Palindrome II</t>
        </is>
      </c>
      <c r="C46" s="6" t="inlineStr">
        <is>
          <t>LeetCode</t>
        </is>
      </c>
      <c r="D46" s="7" t="inlineStr">
        <is>
          <t>Open</t>
        </is>
      </c>
      <c r="E46" s="6" t="inlineStr">
        <is>
          <t>Two pointers</t>
        </is>
      </c>
      <c r="F46" s="6" t="inlineStr">
        <is>
          <t>Easy</t>
        </is>
      </c>
      <c r="G46" s="6" t="inlineStr">
        <is>
          <t>Recommended</t>
        </is>
      </c>
      <c r="H46" s="6" t="n">
        <v>2</v>
      </c>
      <c r="I46" s="8" t="n"/>
      <c r="J46" s="9" t="inlineStr">
        <is>
          <t>Not started</t>
        </is>
      </c>
      <c r="K46" s="6">
        <f>IF(J46="Solved independently","Yes",IF(OR(J46="",J46="Not started"),"","No"))</f>
        <v/>
      </c>
      <c r="L46" s="9" t="n"/>
      <c r="M46" s="9" t="n"/>
      <c r="N46" s="9" t="n"/>
      <c r="O46" s="9" t="n"/>
      <c r="P46" s="10" t="n"/>
      <c r="Q46" s="9" t="n"/>
      <c r="R46" s="8" t="n"/>
      <c r="S46" s="11">
        <f>IF(R46="","",R46+IF(T46=0,3,IF(T46=1,7,IF(T46=2,21,45))))</f>
        <v/>
      </c>
      <c r="T46" s="9" t="n"/>
      <c r="U46" s="6">
        <f>IF(B46="","",LOWER(TRIM(B46)))</f>
        <v/>
      </c>
      <c r="V46" s="6">
        <f>IF(AND(U46&lt;&gt;"",OR(J46="Solved independently",J46="Solved with hints",J46="Solved after viewing solution"),COUNTIFS($U$2:U45,U46,$V$2:V45,1)=0),1,0)</f>
        <v/>
      </c>
      <c r="W46" s="6">
        <f>IF(AND(U46&lt;&gt;"",COUNTIF($U$2:$U$300,U46)&gt;1),"DUPLICATE KEY","")</f>
        <v/>
      </c>
    </row>
    <row r="47">
      <c r="A47" s="6" t="n">
        <v>46</v>
      </c>
      <c r="B47" s="6" t="inlineStr">
        <is>
          <t>3Sum</t>
        </is>
      </c>
      <c r="C47" s="6" t="inlineStr">
        <is>
          <t>LeetCode</t>
        </is>
      </c>
      <c r="D47" s="7" t="inlineStr">
        <is>
          <t>Open</t>
        </is>
      </c>
      <c r="E47" s="6" t="inlineStr">
        <is>
          <t>Two pointers</t>
        </is>
      </c>
      <c r="F47" s="6" t="inlineStr">
        <is>
          <t>Medium</t>
        </is>
      </c>
      <c r="G47" s="6" t="inlineStr">
        <is>
          <t>Essential</t>
        </is>
      </c>
      <c r="H47" s="6" t="n">
        <v>2</v>
      </c>
      <c r="I47" s="8" t="n"/>
      <c r="J47" s="9" t="inlineStr">
        <is>
          <t>Not started</t>
        </is>
      </c>
      <c r="K47" s="6">
        <f>IF(J47="Solved independently","Yes",IF(OR(J47="",J47="Not started"),"","No"))</f>
        <v/>
      </c>
      <c r="L47" s="9" t="n"/>
      <c r="M47" s="9" t="n"/>
      <c r="N47" s="9" t="n"/>
      <c r="O47" s="9" t="n"/>
      <c r="P47" s="10" t="n"/>
      <c r="Q47" s="9" t="n"/>
      <c r="R47" s="8" t="n"/>
      <c r="S47" s="11">
        <f>IF(R47="","",R47+IF(T47=0,3,IF(T47=1,7,IF(T47=2,21,45))))</f>
        <v/>
      </c>
      <c r="T47" s="9" t="n"/>
      <c r="U47" s="6">
        <f>IF(B47="","",LOWER(TRIM(B47)))</f>
        <v/>
      </c>
      <c r="V47" s="6">
        <f>IF(AND(U47&lt;&gt;"",OR(J47="Solved independently",J47="Solved with hints",J47="Solved after viewing solution"),COUNTIFS($U$2:U46,U47,$V$2:V46,1)=0),1,0)</f>
        <v/>
      </c>
      <c r="W47" s="6">
        <f>IF(AND(U47&lt;&gt;"",COUNTIF($U$2:$U$300,U47)&gt;1),"DUPLICATE KEY","")</f>
        <v/>
      </c>
    </row>
    <row r="48">
      <c r="A48" s="6" t="n">
        <v>47</v>
      </c>
      <c r="B48" s="6" t="inlineStr">
        <is>
          <t>Container With Most Water</t>
        </is>
      </c>
      <c r="C48" s="6" t="inlineStr">
        <is>
          <t>LeetCode</t>
        </is>
      </c>
      <c r="D48" s="7" t="inlineStr">
        <is>
          <t>Open</t>
        </is>
      </c>
      <c r="E48" s="6" t="inlineStr">
        <is>
          <t>Two pointers</t>
        </is>
      </c>
      <c r="F48" s="6" t="inlineStr">
        <is>
          <t>Medium</t>
        </is>
      </c>
      <c r="G48" s="6" t="inlineStr">
        <is>
          <t>Essential</t>
        </is>
      </c>
      <c r="H48" s="6" t="n">
        <v>2</v>
      </c>
      <c r="I48" s="8" t="n"/>
      <c r="J48" s="9" t="inlineStr">
        <is>
          <t>Not started</t>
        </is>
      </c>
      <c r="K48" s="6">
        <f>IF(J48="Solved independently","Yes",IF(OR(J48="",J48="Not started"),"","No"))</f>
        <v/>
      </c>
      <c r="L48" s="9" t="n"/>
      <c r="M48" s="9" t="n"/>
      <c r="N48" s="9" t="n"/>
      <c r="O48" s="9" t="n"/>
      <c r="P48" s="10" t="n"/>
      <c r="Q48" s="9" t="n"/>
      <c r="R48" s="8" t="n"/>
      <c r="S48" s="11">
        <f>IF(R48="","",R48+IF(T48=0,3,IF(T48=1,7,IF(T48=2,21,45))))</f>
        <v/>
      </c>
      <c r="T48" s="9" t="n"/>
      <c r="U48" s="6">
        <f>IF(B48="","",LOWER(TRIM(B48)))</f>
        <v/>
      </c>
      <c r="V48" s="6">
        <f>IF(AND(U48&lt;&gt;"",OR(J48="Solved independently",J48="Solved with hints",J48="Solved after viewing solution"),COUNTIFS($U$2:U47,U48,$V$2:V47,1)=0),1,0)</f>
        <v/>
      </c>
      <c r="W48" s="6">
        <f>IF(AND(U48&lt;&gt;"",COUNTIF($U$2:$U$300,U48)&gt;1),"DUPLICATE KEY","")</f>
        <v/>
      </c>
    </row>
    <row r="49">
      <c r="A49" s="6" t="n">
        <v>48</v>
      </c>
      <c r="B49" s="6" t="inlineStr">
        <is>
          <t>Trapping Rain Water</t>
        </is>
      </c>
      <c r="C49" s="6" t="inlineStr">
        <is>
          <t>LeetCode</t>
        </is>
      </c>
      <c r="D49" s="7" t="inlineStr">
        <is>
          <t>Open</t>
        </is>
      </c>
      <c r="E49" s="6" t="inlineStr">
        <is>
          <t>Two pointers</t>
        </is>
      </c>
      <c r="F49" s="6" t="inlineStr">
        <is>
          <t>Hard</t>
        </is>
      </c>
      <c r="G49" s="6" t="inlineStr">
        <is>
          <t>Recommended</t>
        </is>
      </c>
      <c r="H49" s="6" t="n">
        <v>2</v>
      </c>
      <c r="I49" s="8" t="n"/>
      <c r="J49" s="9" t="inlineStr">
        <is>
          <t>Not started</t>
        </is>
      </c>
      <c r="K49" s="6">
        <f>IF(J49="Solved independently","Yes",IF(OR(J49="",J49="Not started"),"","No"))</f>
        <v/>
      </c>
      <c r="L49" s="9" t="n"/>
      <c r="M49" s="9" t="n"/>
      <c r="N49" s="9" t="n"/>
      <c r="O49" s="9" t="n"/>
      <c r="P49" s="10" t="n"/>
      <c r="Q49" s="9" t="n"/>
      <c r="R49" s="8" t="n"/>
      <c r="S49" s="11">
        <f>IF(R49="","",R49+IF(T49=0,3,IF(T49=1,7,IF(T49=2,21,45))))</f>
        <v/>
      </c>
      <c r="T49" s="9" t="n"/>
      <c r="U49" s="6">
        <f>IF(B49="","",LOWER(TRIM(B49)))</f>
        <v/>
      </c>
      <c r="V49" s="6">
        <f>IF(AND(U49&lt;&gt;"",OR(J49="Solved independently",J49="Solved with hints",J49="Solved after viewing solution"),COUNTIFS($U$2:U48,U49,$V$2:V48,1)=0),1,0)</f>
        <v/>
      </c>
      <c r="W49" s="6">
        <f>IF(AND(U49&lt;&gt;"",COUNTIF($U$2:$U$300,U49)&gt;1),"DUPLICATE KEY","")</f>
        <v/>
      </c>
    </row>
    <row r="50">
      <c r="A50" s="6" t="n">
        <v>49</v>
      </c>
      <c r="B50" s="6" t="inlineStr">
        <is>
          <t>Maximum Average Subarray I</t>
        </is>
      </c>
      <c r="C50" s="6" t="inlineStr">
        <is>
          <t>LeetCode</t>
        </is>
      </c>
      <c r="D50" s="7" t="inlineStr">
        <is>
          <t>Open</t>
        </is>
      </c>
      <c r="E50" s="6" t="inlineStr">
        <is>
          <t>Sliding window</t>
        </is>
      </c>
      <c r="F50" s="6" t="inlineStr">
        <is>
          <t>Easy</t>
        </is>
      </c>
      <c r="G50" s="6" t="inlineStr">
        <is>
          <t>Essential</t>
        </is>
      </c>
      <c r="H50" s="6" t="n">
        <v>3</v>
      </c>
      <c r="I50" s="8" t="n"/>
      <c r="J50" s="9" t="inlineStr">
        <is>
          <t>Not started</t>
        </is>
      </c>
      <c r="K50" s="6">
        <f>IF(J50="Solved independently","Yes",IF(OR(J50="",J50="Not started"),"","No"))</f>
        <v/>
      </c>
      <c r="L50" s="9" t="n"/>
      <c r="M50" s="9" t="n"/>
      <c r="N50" s="9" t="n"/>
      <c r="O50" s="9" t="n"/>
      <c r="P50" s="10" t="n"/>
      <c r="Q50" s="9" t="n"/>
      <c r="R50" s="8" t="n"/>
      <c r="S50" s="11">
        <f>IF(R50="","",R50+IF(T50=0,3,IF(T50=1,7,IF(T50=2,21,45))))</f>
        <v/>
      </c>
      <c r="T50" s="9" t="n"/>
      <c r="U50" s="6">
        <f>IF(B50="","",LOWER(TRIM(B50)))</f>
        <v/>
      </c>
      <c r="V50" s="6">
        <f>IF(AND(U50&lt;&gt;"",OR(J50="Solved independently",J50="Solved with hints",J50="Solved after viewing solution"),COUNTIFS($U$2:U49,U50,$V$2:V49,1)=0),1,0)</f>
        <v/>
      </c>
      <c r="W50" s="6">
        <f>IF(AND(U50&lt;&gt;"",COUNTIF($U$2:$U$300,U50)&gt;1),"DUPLICATE KEY","")</f>
        <v/>
      </c>
    </row>
    <row r="51">
      <c r="A51" s="6" t="n">
        <v>50</v>
      </c>
      <c r="B51" s="6" t="inlineStr">
        <is>
          <t>Longest Substring Without Repeating Characters</t>
        </is>
      </c>
      <c r="C51" s="6" t="inlineStr">
        <is>
          <t>LeetCode</t>
        </is>
      </c>
      <c r="D51" s="7" t="inlineStr">
        <is>
          <t>Open</t>
        </is>
      </c>
      <c r="E51" s="6" t="inlineStr">
        <is>
          <t>Sliding window</t>
        </is>
      </c>
      <c r="F51" s="6" t="inlineStr">
        <is>
          <t>Medium</t>
        </is>
      </c>
      <c r="G51" s="6" t="inlineStr">
        <is>
          <t>Essential</t>
        </is>
      </c>
      <c r="H51" s="6" t="n">
        <v>3</v>
      </c>
      <c r="I51" s="8" t="n"/>
      <c r="J51" s="9" t="inlineStr">
        <is>
          <t>Not started</t>
        </is>
      </c>
      <c r="K51" s="6">
        <f>IF(J51="Solved independently","Yes",IF(OR(J51="",J51="Not started"),"","No"))</f>
        <v/>
      </c>
      <c r="L51" s="9" t="n"/>
      <c r="M51" s="9" t="n"/>
      <c r="N51" s="9" t="n"/>
      <c r="O51" s="9" t="n"/>
      <c r="P51" s="10" t="n"/>
      <c r="Q51" s="9" t="n"/>
      <c r="R51" s="8" t="n"/>
      <c r="S51" s="11">
        <f>IF(R51="","",R51+IF(T51=0,3,IF(T51=1,7,IF(T51=2,21,45))))</f>
        <v/>
      </c>
      <c r="T51" s="9" t="n"/>
      <c r="U51" s="6">
        <f>IF(B51="","",LOWER(TRIM(B51)))</f>
        <v/>
      </c>
      <c r="V51" s="6">
        <f>IF(AND(U51&lt;&gt;"",OR(J51="Solved independently",J51="Solved with hints",J51="Solved after viewing solution"),COUNTIFS($U$2:U50,U51,$V$2:V50,1)=0),1,0)</f>
        <v/>
      </c>
      <c r="W51" s="6">
        <f>IF(AND(U51&lt;&gt;"",COUNTIF($U$2:$U$300,U51)&gt;1),"DUPLICATE KEY","")</f>
        <v/>
      </c>
    </row>
    <row r="52">
      <c r="A52" s="6" t="n">
        <v>51</v>
      </c>
      <c r="B52" s="6" t="inlineStr">
        <is>
          <t>Minimum Size Subarray Sum</t>
        </is>
      </c>
      <c r="C52" s="6" t="inlineStr">
        <is>
          <t>LeetCode</t>
        </is>
      </c>
      <c r="D52" s="7" t="inlineStr">
        <is>
          <t>Open</t>
        </is>
      </c>
      <c r="E52" s="6" t="inlineStr">
        <is>
          <t>Sliding window</t>
        </is>
      </c>
      <c r="F52" s="6" t="inlineStr">
        <is>
          <t>Medium</t>
        </is>
      </c>
      <c r="G52" s="6" t="inlineStr">
        <is>
          <t>Essential</t>
        </is>
      </c>
      <c r="H52" s="6" t="n">
        <v>3</v>
      </c>
      <c r="I52" s="8" t="n"/>
      <c r="J52" s="9" t="inlineStr">
        <is>
          <t>Not started</t>
        </is>
      </c>
      <c r="K52" s="6">
        <f>IF(J52="Solved independently","Yes",IF(OR(J52="",J52="Not started"),"","No"))</f>
        <v/>
      </c>
      <c r="L52" s="9" t="n"/>
      <c r="M52" s="9" t="n"/>
      <c r="N52" s="9" t="n"/>
      <c r="O52" s="9" t="n"/>
      <c r="P52" s="10" t="n"/>
      <c r="Q52" s="9" t="n"/>
      <c r="R52" s="8" t="n"/>
      <c r="S52" s="11">
        <f>IF(R52="","",R52+IF(T52=0,3,IF(T52=1,7,IF(T52=2,21,45))))</f>
        <v/>
      </c>
      <c r="T52" s="9" t="n"/>
      <c r="U52" s="6">
        <f>IF(B52="","",LOWER(TRIM(B52)))</f>
        <v/>
      </c>
      <c r="V52" s="6">
        <f>IF(AND(U52&lt;&gt;"",OR(J52="Solved independently",J52="Solved with hints",J52="Solved after viewing solution"),COUNTIFS($U$2:U51,U52,$V$2:V51,1)=0),1,0)</f>
        <v/>
      </c>
      <c r="W52" s="6">
        <f>IF(AND(U52&lt;&gt;"",COUNTIF($U$2:$U$300,U52)&gt;1),"DUPLICATE KEY","")</f>
        <v/>
      </c>
    </row>
    <row r="53">
      <c r="A53" s="6" t="n">
        <v>52</v>
      </c>
      <c r="B53" s="6" t="inlineStr">
        <is>
          <t>Longest Repeating Character Replacement</t>
        </is>
      </c>
      <c r="C53" s="6" t="inlineStr">
        <is>
          <t>LeetCode</t>
        </is>
      </c>
      <c r="D53" s="7" t="inlineStr">
        <is>
          <t>Open</t>
        </is>
      </c>
      <c r="E53" s="6" t="inlineStr">
        <is>
          <t>Sliding window</t>
        </is>
      </c>
      <c r="F53" s="6" t="inlineStr">
        <is>
          <t>Medium</t>
        </is>
      </c>
      <c r="G53" s="6" t="inlineStr">
        <is>
          <t>Recommended</t>
        </is>
      </c>
      <c r="H53" s="6" t="n">
        <v>3</v>
      </c>
      <c r="I53" s="8" t="n"/>
      <c r="J53" s="9" t="inlineStr">
        <is>
          <t>Not started</t>
        </is>
      </c>
      <c r="K53" s="6">
        <f>IF(J53="Solved independently","Yes",IF(OR(J53="",J53="Not started"),"","No"))</f>
        <v/>
      </c>
      <c r="L53" s="9" t="n"/>
      <c r="M53" s="9" t="n"/>
      <c r="N53" s="9" t="n"/>
      <c r="O53" s="9" t="n"/>
      <c r="P53" s="10" t="n"/>
      <c r="Q53" s="9" t="n"/>
      <c r="R53" s="8" t="n"/>
      <c r="S53" s="11">
        <f>IF(R53="","",R53+IF(T53=0,3,IF(T53=1,7,IF(T53=2,21,45))))</f>
        <v/>
      </c>
      <c r="T53" s="9" t="n"/>
      <c r="U53" s="6">
        <f>IF(B53="","",LOWER(TRIM(B53)))</f>
        <v/>
      </c>
      <c r="V53" s="6">
        <f>IF(AND(U53&lt;&gt;"",OR(J53="Solved independently",J53="Solved with hints",J53="Solved after viewing solution"),COUNTIFS($U$2:U52,U53,$V$2:V52,1)=0),1,0)</f>
        <v/>
      </c>
      <c r="W53" s="6">
        <f>IF(AND(U53&lt;&gt;"",COUNTIF($U$2:$U$300,U53)&gt;1),"DUPLICATE KEY","")</f>
        <v/>
      </c>
    </row>
    <row r="54">
      <c r="A54" s="6" t="n">
        <v>53</v>
      </c>
      <c r="B54" s="6" t="inlineStr">
        <is>
          <t>Permutation in String</t>
        </is>
      </c>
      <c r="C54" s="6" t="inlineStr">
        <is>
          <t>LeetCode</t>
        </is>
      </c>
      <c r="D54" s="7" t="inlineStr">
        <is>
          <t>Open</t>
        </is>
      </c>
      <c r="E54" s="6" t="inlineStr">
        <is>
          <t>Sliding window</t>
        </is>
      </c>
      <c r="F54" s="6" t="inlineStr">
        <is>
          <t>Medium</t>
        </is>
      </c>
      <c r="G54" s="6" t="inlineStr">
        <is>
          <t>Recommended</t>
        </is>
      </c>
      <c r="H54" s="6" t="n">
        <v>3</v>
      </c>
      <c r="I54" s="8" t="n"/>
      <c r="J54" s="9" t="inlineStr">
        <is>
          <t>Not started</t>
        </is>
      </c>
      <c r="K54" s="6">
        <f>IF(J54="Solved independently","Yes",IF(OR(J54="",J54="Not started"),"","No"))</f>
        <v/>
      </c>
      <c r="L54" s="9" t="n"/>
      <c r="M54" s="9" t="n"/>
      <c r="N54" s="9" t="n"/>
      <c r="O54" s="9" t="n"/>
      <c r="P54" s="10" t="n"/>
      <c r="Q54" s="9" t="n"/>
      <c r="R54" s="8" t="n"/>
      <c r="S54" s="11">
        <f>IF(R54="","",R54+IF(T54=0,3,IF(T54=1,7,IF(T54=2,21,45))))</f>
        <v/>
      </c>
      <c r="T54" s="9" t="n"/>
      <c r="U54" s="6">
        <f>IF(B54="","",LOWER(TRIM(B54)))</f>
        <v/>
      </c>
      <c r="V54" s="6">
        <f>IF(AND(U54&lt;&gt;"",OR(J54="Solved independently",J54="Solved with hints",J54="Solved after viewing solution"),COUNTIFS($U$2:U53,U54,$V$2:V53,1)=0),1,0)</f>
        <v/>
      </c>
      <c r="W54" s="6">
        <f>IF(AND(U54&lt;&gt;"",COUNTIF($U$2:$U$300,U54)&gt;1),"DUPLICATE KEY","")</f>
        <v/>
      </c>
    </row>
    <row r="55">
      <c r="A55" s="6" t="n">
        <v>54</v>
      </c>
      <c r="B55" s="6" t="inlineStr">
        <is>
          <t>Minimum Window Substring</t>
        </is>
      </c>
      <c r="C55" s="6" t="inlineStr">
        <is>
          <t>LeetCode</t>
        </is>
      </c>
      <c r="D55" s="7" t="inlineStr">
        <is>
          <t>Open</t>
        </is>
      </c>
      <c r="E55" s="6" t="inlineStr">
        <is>
          <t>Sliding window</t>
        </is>
      </c>
      <c r="F55" s="6" t="inlineStr">
        <is>
          <t>Hard</t>
        </is>
      </c>
      <c r="G55" s="6" t="inlineStr">
        <is>
          <t>Optional</t>
        </is>
      </c>
      <c r="H55" s="6" t="n">
        <v>3</v>
      </c>
      <c r="I55" s="8" t="n"/>
      <c r="J55" s="9" t="inlineStr">
        <is>
          <t>Not started</t>
        </is>
      </c>
      <c r="K55" s="6">
        <f>IF(J55="Solved independently","Yes",IF(OR(J55="",J55="Not started"),"","No"))</f>
        <v/>
      </c>
      <c r="L55" s="9" t="n"/>
      <c r="M55" s="9" t="n"/>
      <c r="N55" s="9" t="n"/>
      <c r="O55" s="9" t="n"/>
      <c r="P55" s="10" t="n"/>
      <c r="Q55" s="9" t="n"/>
      <c r="R55" s="8" t="n"/>
      <c r="S55" s="11">
        <f>IF(R55="","",R55+IF(T55=0,3,IF(T55=1,7,IF(T55=2,21,45))))</f>
        <v/>
      </c>
      <c r="T55" s="9" t="n"/>
      <c r="U55" s="6">
        <f>IF(B55="","",LOWER(TRIM(B55)))</f>
        <v/>
      </c>
      <c r="V55" s="6">
        <f>IF(AND(U55&lt;&gt;"",OR(J55="Solved independently",J55="Solved with hints",J55="Solved after viewing solution"),COUNTIFS($U$2:U54,U55,$V$2:V54,1)=0),1,0)</f>
        <v/>
      </c>
      <c r="W55" s="6">
        <f>IF(AND(U55&lt;&gt;"",COUNTIF($U$2:$U$300,U55)&gt;1),"DUPLICATE KEY","")</f>
        <v/>
      </c>
    </row>
    <row r="56">
      <c r="A56" s="6" t="n">
        <v>55</v>
      </c>
      <c r="B56" s="6" t="inlineStr">
        <is>
          <t>Sliding Window Maximum</t>
        </is>
      </c>
      <c r="C56" s="6" t="inlineStr">
        <is>
          <t>LeetCode</t>
        </is>
      </c>
      <c r="D56" s="7" t="inlineStr">
        <is>
          <t>Open</t>
        </is>
      </c>
      <c r="E56" s="6" t="inlineStr">
        <is>
          <t>Sliding window</t>
        </is>
      </c>
      <c r="F56" s="6" t="inlineStr">
        <is>
          <t>Hard</t>
        </is>
      </c>
      <c r="G56" s="6" t="inlineStr">
        <is>
          <t>Optional</t>
        </is>
      </c>
      <c r="H56" s="6" t="n">
        <v>3</v>
      </c>
      <c r="I56" s="8" t="n"/>
      <c r="J56" s="9" t="inlineStr">
        <is>
          <t>Not started</t>
        </is>
      </c>
      <c r="K56" s="6">
        <f>IF(J56="Solved independently","Yes",IF(OR(J56="",J56="Not started"),"","No"))</f>
        <v/>
      </c>
      <c r="L56" s="9" t="n"/>
      <c r="M56" s="9" t="n"/>
      <c r="N56" s="9" t="n"/>
      <c r="O56" s="9" t="n"/>
      <c r="P56" s="10" t="n"/>
      <c r="Q56" s="9" t="n"/>
      <c r="R56" s="8" t="n"/>
      <c r="S56" s="11">
        <f>IF(R56="","",R56+IF(T56=0,3,IF(T56=1,7,IF(T56=2,21,45))))</f>
        <v/>
      </c>
      <c r="T56" s="9" t="n"/>
      <c r="U56" s="6">
        <f>IF(B56="","",LOWER(TRIM(B56)))</f>
        <v/>
      </c>
      <c r="V56" s="6">
        <f>IF(AND(U56&lt;&gt;"",OR(J56="Solved independently",J56="Solved with hints",J56="Solved after viewing solution"),COUNTIFS($U$2:U55,U56,$V$2:V55,1)=0),1,0)</f>
        <v/>
      </c>
      <c r="W56" s="6">
        <f>IF(AND(U56&lt;&gt;"",COUNTIF($U$2:$U$300,U56)&gt;1),"DUPLICATE KEY","")</f>
        <v/>
      </c>
    </row>
    <row r="57">
      <c r="A57" s="6" t="n">
        <v>56</v>
      </c>
      <c r="B57" s="6" t="inlineStr">
        <is>
          <t>Binary Search</t>
        </is>
      </c>
      <c r="C57" s="6" t="inlineStr">
        <is>
          <t>LeetCode</t>
        </is>
      </c>
      <c r="D57" s="7" t="inlineStr">
        <is>
          <t>Open</t>
        </is>
      </c>
      <c r="E57" s="6" t="inlineStr">
        <is>
          <t>Sorting &amp; binary search</t>
        </is>
      </c>
      <c r="F57" s="6" t="inlineStr">
        <is>
          <t>Easy</t>
        </is>
      </c>
      <c r="G57" s="6" t="inlineStr">
        <is>
          <t>Essential</t>
        </is>
      </c>
      <c r="H57" s="6" t="n">
        <v>3</v>
      </c>
      <c r="I57" s="8" t="n"/>
      <c r="J57" s="9" t="inlineStr">
        <is>
          <t>Not started</t>
        </is>
      </c>
      <c r="K57" s="6">
        <f>IF(J57="Solved independently","Yes",IF(OR(J57="",J57="Not started"),"","No"))</f>
        <v/>
      </c>
      <c r="L57" s="9" t="n"/>
      <c r="M57" s="9" t="n"/>
      <c r="N57" s="9" t="n"/>
      <c r="O57" s="9" t="n"/>
      <c r="P57" s="10" t="n"/>
      <c r="Q57" s="9" t="n"/>
      <c r="R57" s="8" t="n"/>
      <c r="S57" s="11">
        <f>IF(R57="","",R57+IF(T57=0,3,IF(T57=1,7,IF(T57=2,21,45))))</f>
        <v/>
      </c>
      <c r="T57" s="9" t="n"/>
      <c r="U57" s="6">
        <f>IF(B57="","",LOWER(TRIM(B57)))</f>
        <v/>
      </c>
      <c r="V57" s="6">
        <f>IF(AND(U57&lt;&gt;"",OR(J57="Solved independently",J57="Solved with hints",J57="Solved after viewing solution"),COUNTIFS($U$2:U56,U57,$V$2:V56,1)=0),1,0)</f>
        <v/>
      </c>
      <c r="W57" s="6">
        <f>IF(AND(U57&lt;&gt;"",COUNTIF($U$2:$U$300,U57)&gt;1),"DUPLICATE KEY","")</f>
        <v/>
      </c>
    </row>
    <row r="58">
      <c r="A58" s="6" t="n">
        <v>57</v>
      </c>
      <c r="B58" s="6" t="inlineStr">
        <is>
          <t>Search Insert Position</t>
        </is>
      </c>
      <c r="C58" s="6" t="inlineStr">
        <is>
          <t>LeetCode</t>
        </is>
      </c>
      <c r="D58" s="7" t="inlineStr">
        <is>
          <t>Open</t>
        </is>
      </c>
      <c r="E58" s="6" t="inlineStr">
        <is>
          <t>Sorting &amp; binary search</t>
        </is>
      </c>
      <c r="F58" s="6" t="inlineStr">
        <is>
          <t>Easy</t>
        </is>
      </c>
      <c r="G58" s="6" t="inlineStr">
        <is>
          <t>Essential</t>
        </is>
      </c>
      <c r="H58" s="6" t="n">
        <v>3</v>
      </c>
      <c r="I58" s="8" t="n"/>
      <c r="J58" s="9" t="inlineStr">
        <is>
          <t>Not started</t>
        </is>
      </c>
      <c r="K58" s="6">
        <f>IF(J58="Solved independently","Yes",IF(OR(J58="",J58="Not started"),"","No"))</f>
        <v/>
      </c>
      <c r="L58" s="9" t="n"/>
      <c r="M58" s="9" t="n"/>
      <c r="N58" s="9" t="n"/>
      <c r="O58" s="9" t="n"/>
      <c r="P58" s="10" t="n"/>
      <c r="Q58" s="9" t="n"/>
      <c r="R58" s="8" t="n"/>
      <c r="S58" s="11">
        <f>IF(R58="","",R58+IF(T58=0,3,IF(T58=1,7,IF(T58=2,21,45))))</f>
        <v/>
      </c>
      <c r="T58" s="9" t="n"/>
      <c r="U58" s="6">
        <f>IF(B58="","",LOWER(TRIM(B58)))</f>
        <v/>
      </c>
      <c r="V58" s="6">
        <f>IF(AND(U58&lt;&gt;"",OR(J58="Solved independently",J58="Solved with hints",J58="Solved after viewing solution"),COUNTIFS($U$2:U57,U58,$V$2:V57,1)=0),1,0)</f>
        <v/>
      </c>
      <c r="W58" s="6">
        <f>IF(AND(U58&lt;&gt;"",COUNTIF($U$2:$U$300,U58)&gt;1),"DUPLICATE KEY","")</f>
        <v/>
      </c>
    </row>
    <row r="59">
      <c r="A59" s="6" t="n">
        <v>58</v>
      </c>
      <c r="B59" s="6" t="inlineStr">
        <is>
          <t>First Bad Version</t>
        </is>
      </c>
      <c r="C59" s="6" t="inlineStr">
        <is>
          <t>LeetCode</t>
        </is>
      </c>
      <c r="D59" s="7" t="inlineStr">
        <is>
          <t>Open</t>
        </is>
      </c>
      <c r="E59" s="6" t="inlineStr">
        <is>
          <t>Sorting &amp; binary search</t>
        </is>
      </c>
      <c r="F59" s="6" t="inlineStr">
        <is>
          <t>Easy</t>
        </is>
      </c>
      <c r="G59" s="6" t="inlineStr">
        <is>
          <t>Recommended</t>
        </is>
      </c>
      <c r="H59" s="6" t="n">
        <v>3</v>
      </c>
      <c r="I59" s="8" t="n"/>
      <c r="J59" s="9" t="inlineStr">
        <is>
          <t>Not started</t>
        </is>
      </c>
      <c r="K59" s="6">
        <f>IF(J59="Solved independently","Yes",IF(OR(J59="",J59="Not started"),"","No"))</f>
        <v/>
      </c>
      <c r="L59" s="9" t="n"/>
      <c r="M59" s="9" t="n"/>
      <c r="N59" s="9" t="n"/>
      <c r="O59" s="9" t="n"/>
      <c r="P59" s="10" t="n"/>
      <c r="Q59" s="9" t="n"/>
      <c r="R59" s="8" t="n"/>
      <c r="S59" s="11">
        <f>IF(R59="","",R59+IF(T59=0,3,IF(T59=1,7,IF(T59=2,21,45))))</f>
        <v/>
      </c>
      <c r="T59" s="9" t="n"/>
      <c r="U59" s="6">
        <f>IF(B59="","",LOWER(TRIM(B59)))</f>
        <v/>
      </c>
      <c r="V59" s="6">
        <f>IF(AND(U59&lt;&gt;"",OR(J59="Solved independently",J59="Solved with hints",J59="Solved after viewing solution"),COUNTIFS($U$2:U58,U59,$V$2:V58,1)=0),1,0)</f>
        <v/>
      </c>
      <c r="W59" s="6">
        <f>IF(AND(U59&lt;&gt;"",COUNTIF($U$2:$U$300,U59)&gt;1),"DUPLICATE KEY","")</f>
        <v/>
      </c>
    </row>
    <row r="60">
      <c r="A60" s="6" t="n">
        <v>59</v>
      </c>
      <c r="B60" s="6" t="inlineStr">
        <is>
          <t>Sqrt(x)</t>
        </is>
      </c>
      <c r="C60" s="6" t="inlineStr">
        <is>
          <t>LeetCode</t>
        </is>
      </c>
      <c r="D60" s="7" t="inlineStr">
        <is>
          <t>Open</t>
        </is>
      </c>
      <c r="E60" s="6" t="inlineStr">
        <is>
          <t>Sorting &amp; binary search</t>
        </is>
      </c>
      <c r="F60" s="6" t="inlineStr">
        <is>
          <t>Easy</t>
        </is>
      </c>
      <c r="G60" s="6" t="inlineStr">
        <is>
          <t>Recommended</t>
        </is>
      </c>
      <c r="H60" s="6" t="n">
        <v>3</v>
      </c>
      <c r="I60" s="8" t="n"/>
      <c r="J60" s="9" t="inlineStr">
        <is>
          <t>Not started</t>
        </is>
      </c>
      <c r="K60" s="6">
        <f>IF(J60="Solved independently","Yes",IF(OR(J60="",J60="Not started"),"","No"))</f>
        <v/>
      </c>
      <c r="L60" s="9" t="n"/>
      <c r="M60" s="9" t="n"/>
      <c r="N60" s="9" t="n"/>
      <c r="O60" s="9" t="n"/>
      <c r="P60" s="10" t="n"/>
      <c r="Q60" s="9" t="n"/>
      <c r="R60" s="8" t="n"/>
      <c r="S60" s="11">
        <f>IF(R60="","",R60+IF(T60=0,3,IF(T60=1,7,IF(T60=2,21,45))))</f>
        <v/>
      </c>
      <c r="T60" s="9" t="n"/>
      <c r="U60" s="6">
        <f>IF(B60="","",LOWER(TRIM(B60)))</f>
        <v/>
      </c>
      <c r="V60" s="6">
        <f>IF(AND(U60&lt;&gt;"",OR(J60="Solved independently",J60="Solved with hints",J60="Solved after viewing solution"),COUNTIFS($U$2:U59,U60,$V$2:V59,1)=0),1,0)</f>
        <v/>
      </c>
      <c r="W60" s="6">
        <f>IF(AND(U60&lt;&gt;"",COUNTIF($U$2:$U$300,U60)&gt;1),"DUPLICATE KEY","")</f>
        <v/>
      </c>
    </row>
    <row r="61">
      <c r="A61" s="6" t="n">
        <v>60</v>
      </c>
      <c r="B61" s="6" t="inlineStr">
        <is>
          <t>Find First and Last Position of Element in Sorted Array</t>
        </is>
      </c>
      <c r="C61" s="6" t="inlineStr">
        <is>
          <t>LeetCode</t>
        </is>
      </c>
      <c r="D61" s="7" t="inlineStr">
        <is>
          <t>Open</t>
        </is>
      </c>
      <c r="E61" s="6" t="inlineStr">
        <is>
          <t>Sorting &amp; binary search</t>
        </is>
      </c>
      <c r="F61" s="6" t="inlineStr">
        <is>
          <t>Medium</t>
        </is>
      </c>
      <c r="G61" s="6" t="inlineStr">
        <is>
          <t>Essential</t>
        </is>
      </c>
      <c r="H61" s="6" t="n">
        <v>3</v>
      </c>
      <c r="I61" s="8" t="n"/>
      <c r="J61" s="9" t="inlineStr">
        <is>
          <t>Not started</t>
        </is>
      </c>
      <c r="K61" s="6">
        <f>IF(J61="Solved independently","Yes",IF(OR(J61="",J61="Not started"),"","No"))</f>
        <v/>
      </c>
      <c r="L61" s="9" t="n"/>
      <c r="M61" s="9" t="n"/>
      <c r="N61" s="9" t="n"/>
      <c r="O61" s="9" t="n"/>
      <c r="P61" s="10" t="n"/>
      <c r="Q61" s="9" t="n"/>
      <c r="R61" s="8" t="n"/>
      <c r="S61" s="11">
        <f>IF(R61="","",R61+IF(T61=0,3,IF(T61=1,7,IF(T61=2,21,45))))</f>
        <v/>
      </c>
      <c r="T61" s="9" t="n"/>
      <c r="U61" s="6">
        <f>IF(B61="","",LOWER(TRIM(B61)))</f>
        <v/>
      </c>
      <c r="V61" s="6">
        <f>IF(AND(U61&lt;&gt;"",OR(J61="Solved independently",J61="Solved with hints",J61="Solved after viewing solution"),COUNTIFS($U$2:U60,U61,$V$2:V60,1)=0),1,0)</f>
        <v/>
      </c>
      <c r="W61" s="6">
        <f>IF(AND(U61&lt;&gt;"",COUNTIF($U$2:$U$300,U61)&gt;1),"DUPLICATE KEY","")</f>
        <v/>
      </c>
    </row>
    <row r="62">
      <c r="A62" s="6" t="n">
        <v>61</v>
      </c>
      <c r="B62" s="6" t="inlineStr">
        <is>
          <t>Search in Rotated Sorted Array</t>
        </is>
      </c>
      <c r="C62" s="6" t="inlineStr">
        <is>
          <t>LeetCode</t>
        </is>
      </c>
      <c r="D62" s="7" t="inlineStr">
        <is>
          <t>Open</t>
        </is>
      </c>
      <c r="E62" s="6" t="inlineStr">
        <is>
          <t>Sorting &amp; binary search</t>
        </is>
      </c>
      <c r="F62" s="6" t="inlineStr">
        <is>
          <t>Medium</t>
        </is>
      </c>
      <c r="G62" s="6" t="inlineStr">
        <is>
          <t>Essential</t>
        </is>
      </c>
      <c r="H62" s="6" t="n">
        <v>3</v>
      </c>
      <c r="I62" s="8" t="n"/>
      <c r="J62" s="9" t="inlineStr">
        <is>
          <t>Not started</t>
        </is>
      </c>
      <c r="K62" s="6">
        <f>IF(J62="Solved independently","Yes",IF(OR(J62="",J62="Not started"),"","No"))</f>
        <v/>
      </c>
      <c r="L62" s="9" t="n"/>
      <c r="M62" s="9" t="n"/>
      <c r="N62" s="9" t="n"/>
      <c r="O62" s="9" t="n"/>
      <c r="P62" s="10" t="n"/>
      <c r="Q62" s="9" t="n"/>
      <c r="R62" s="8" t="n"/>
      <c r="S62" s="11">
        <f>IF(R62="","",R62+IF(T62=0,3,IF(T62=1,7,IF(T62=2,21,45))))</f>
        <v/>
      </c>
      <c r="T62" s="9" t="n"/>
      <c r="U62" s="6">
        <f>IF(B62="","",LOWER(TRIM(B62)))</f>
        <v/>
      </c>
      <c r="V62" s="6">
        <f>IF(AND(U62&lt;&gt;"",OR(J62="Solved independently",J62="Solved with hints",J62="Solved after viewing solution"),COUNTIFS($U$2:U61,U62,$V$2:V61,1)=0),1,0)</f>
        <v/>
      </c>
      <c r="W62" s="6">
        <f>IF(AND(U62&lt;&gt;"",COUNTIF($U$2:$U$300,U62)&gt;1),"DUPLICATE KEY","")</f>
        <v/>
      </c>
    </row>
    <row r="63">
      <c r="A63" s="6" t="n">
        <v>62</v>
      </c>
      <c r="B63" s="6" t="inlineStr">
        <is>
          <t>Find Minimum in Rotated Sorted Array</t>
        </is>
      </c>
      <c r="C63" s="6" t="inlineStr">
        <is>
          <t>LeetCode</t>
        </is>
      </c>
      <c r="D63" s="7" t="inlineStr">
        <is>
          <t>Open</t>
        </is>
      </c>
      <c r="E63" s="6" t="inlineStr">
        <is>
          <t>Sorting &amp; binary search</t>
        </is>
      </c>
      <c r="F63" s="6" t="inlineStr">
        <is>
          <t>Medium</t>
        </is>
      </c>
      <c r="G63" s="6" t="inlineStr">
        <is>
          <t>Essential</t>
        </is>
      </c>
      <c r="H63" s="6" t="n">
        <v>3</v>
      </c>
      <c r="I63" s="8" t="n"/>
      <c r="J63" s="9" t="inlineStr">
        <is>
          <t>Not started</t>
        </is>
      </c>
      <c r="K63" s="6">
        <f>IF(J63="Solved independently","Yes",IF(OR(J63="",J63="Not started"),"","No"))</f>
        <v/>
      </c>
      <c r="L63" s="9" t="n"/>
      <c r="M63" s="9" t="n"/>
      <c r="N63" s="9" t="n"/>
      <c r="O63" s="9" t="n"/>
      <c r="P63" s="10" t="n"/>
      <c r="Q63" s="9" t="n"/>
      <c r="R63" s="8" t="n"/>
      <c r="S63" s="11">
        <f>IF(R63="","",R63+IF(T63=0,3,IF(T63=1,7,IF(T63=2,21,45))))</f>
        <v/>
      </c>
      <c r="T63" s="9" t="n"/>
      <c r="U63" s="6">
        <f>IF(B63="","",LOWER(TRIM(B63)))</f>
        <v/>
      </c>
      <c r="V63" s="6">
        <f>IF(AND(U63&lt;&gt;"",OR(J63="Solved independently",J63="Solved with hints",J63="Solved after viewing solution"),COUNTIFS($U$2:U62,U63,$V$2:V62,1)=0),1,0)</f>
        <v/>
      </c>
      <c r="W63" s="6">
        <f>IF(AND(U63&lt;&gt;"",COUNTIF($U$2:$U$300,U63)&gt;1),"DUPLICATE KEY","")</f>
        <v/>
      </c>
    </row>
    <row r="64">
      <c r="A64" s="6" t="n">
        <v>63</v>
      </c>
      <c r="B64" s="6" t="inlineStr">
        <is>
          <t>Search a 2D Matrix</t>
        </is>
      </c>
      <c r="C64" s="6" t="inlineStr">
        <is>
          <t>LeetCode</t>
        </is>
      </c>
      <c r="D64" s="7" t="inlineStr">
        <is>
          <t>Open</t>
        </is>
      </c>
      <c r="E64" s="6" t="inlineStr">
        <is>
          <t>Sorting &amp; binary search</t>
        </is>
      </c>
      <c r="F64" s="6" t="inlineStr">
        <is>
          <t>Medium</t>
        </is>
      </c>
      <c r="G64" s="6" t="inlineStr">
        <is>
          <t>Recommended</t>
        </is>
      </c>
      <c r="H64" s="6" t="n">
        <v>3</v>
      </c>
      <c r="I64" s="8" t="n"/>
      <c r="J64" s="9" t="inlineStr">
        <is>
          <t>Not started</t>
        </is>
      </c>
      <c r="K64" s="6">
        <f>IF(J64="Solved independently","Yes",IF(OR(J64="",J64="Not started"),"","No"))</f>
        <v/>
      </c>
      <c r="L64" s="9" t="n"/>
      <c r="M64" s="9" t="n"/>
      <c r="N64" s="9" t="n"/>
      <c r="O64" s="9" t="n"/>
      <c r="P64" s="10" t="n"/>
      <c r="Q64" s="9" t="n"/>
      <c r="R64" s="8" t="n"/>
      <c r="S64" s="11">
        <f>IF(R64="","",R64+IF(T64=0,3,IF(T64=1,7,IF(T64=2,21,45))))</f>
        <v/>
      </c>
      <c r="T64" s="9" t="n"/>
      <c r="U64" s="6">
        <f>IF(B64="","",LOWER(TRIM(B64)))</f>
        <v/>
      </c>
      <c r="V64" s="6">
        <f>IF(AND(U64&lt;&gt;"",OR(J64="Solved independently",J64="Solved with hints",J64="Solved after viewing solution"),COUNTIFS($U$2:U63,U64,$V$2:V63,1)=0),1,0)</f>
        <v/>
      </c>
      <c r="W64" s="6">
        <f>IF(AND(U64&lt;&gt;"",COUNTIF($U$2:$U$300,U64)&gt;1),"DUPLICATE KEY","")</f>
        <v/>
      </c>
    </row>
    <row r="65">
      <c r="A65" s="6" t="n">
        <v>64</v>
      </c>
      <c r="B65" s="6" t="inlineStr">
        <is>
          <t>Koko Eating Bananas</t>
        </is>
      </c>
      <c r="C65" s="6" t="inlineStr">
        <is>
          <t>LeetCode</t>
        </is>
      </c>
      <c r="D65" s="7" t="inlineStr">
        <is>
          <t>Open</t>
        </is>
      </c>
      <c r="E65" s="6" t="inlineStr">
        <is>
          <t>Sorting &amp; binary search</t>
        </is>
      </c>
      <c r="F65" s="6" t="inlineStr">
        <is>
          <t>Medium</t>
        </is>
      </c>
      <c r="G65" s="6" t="inlineStr">
        <is>
          <t>Essential</t>
        </is>
      </c>
      <c r="H65" s="6" t="n">
        <v>3</v>
      </c>
      <c r="I65" s="8" t="n"/>
      <c r="J65" s="9" t="inlineStr">
        <is>
          <t>Not started</t>
        </is>
      </c>
      <c r="K65" s="6">
        <f>IF(J65="Solved independently","Yes",IF(OR(J65="",J65="Not started"),"","No"))</f>
        <v/>
      </c>
      <c r="L65" s="9" t="n"/>
      <c r="M65" s="9" t="n"/>
      <c r="N65" s="9" t="n"/>
      <c r="O65" s="9" t="n"/>
      <c r="P65" s="10" t="n"/>
      <c r="Q65" s="9" t="n"/>
      <c r="R65" s="8" t="n"/>
      <c r="S65" s="11">
        <f>IF(R65="","",R65+IF(T65=0,3,IF(T65=1,7,IF(T65=2,21,45))))</f>
        <v/>
      </c>
      <c r="T65" s="9" t="n"/>
      <c r="U65" s="6">
        <f>IF(B65="","",LOWER(TRIM(B65)))</f>
        <v/>
      </c>
      <c r="V65" s="6">
        <f>IF(AND(U65&lt;&gt;"",OR(J65="Solved independently",J65="Solved with hints",J65="Solved after viewing solution"),COUNTIFS($U$2:U64,U65,$V$2:V64,1)=0),1,0)</f>
        <v/>
      </c>
      <c r="W65" s="6">
        <f>IF(AND(U65&lt;&gt;"",COUNTIF($U$2:$U$300,U65)&gt;1),"DUPLICATE KEY","")</f>
        <v/>
      </c>
    </row>
    <row r="66">
      <c r="A66" s="6" t="n">
        <v>65</v>
      </c>
      <c r="B66" s="6" t="inlineStr">
        <is>
          <t>Sort Colors</t>
        </is>
      </c>
      <c r="C66" s="6" t="inlineStr">
        <is>
          <t>LeetCode</t>
        </is>
      </c>
      <c r="D66" s="7" t="inlineStr">
        <is>
          <t>Open</t>
        </is>
      </c>
      <c r="E66" s="6" t="inlineStr">
        <is>
          <t>Sorting &amp; binary search</t>
        </is>
      </c>
      <c r="F66" s="6" t="inlineStr">
        <is>
          <t>Medium</t>
        </is>
      </c>
      <c r="G66" s="6" t="inlineStr">
        <is>
          <t>Essential</t>
        </is>
      </c>
      <c r="H66" s="6" t="n">
        <v>3</v>
      </c>
      <c r="I66" s="8" t="n"/>
      <c r="J66" s="9" t="inlineStr">
        <is>
          <t>Not started</t>
        </is>
      </c>
      <c r="K66" s="6">
        <f>IF(J66="Solved independently","Yes",IF(OR(J66="",J66="Not started"),"","No"))</f>
        <v/>
      </c>
      <c r="L66" s="9" t="n"/>
      <c r="M66" s="9" t="n"/>
      <c r="N66" s="9" t="n"/>
      <c r="O66" s="9" t="n"/>
      <c r="P66" s="10" t="n"/>
      <c r="Q66" s="9" t="n"/>
      <c r="R66" s="8" t="n"/>
      <c r="S66" s="11">
        <f>IF(R66="","",R66+IF(T66=0,3,IF(T66=1,7,IF(T66=2,21,45))))</f>
        <v/>
      </c>
      <c r="T66" s="9" t="n"/>
      <c r="U66" s="6">
        <f>IF(B66="","",LOWER(TRIM(B66)))</f>
        <v/>
      </c>
      <c r="V66" s="6">
        <f>IF(AND(U66&lt;&gt;"",OR(J66="Solved independently",J66="Solved with hints",J66="Solved after viewing solution"),COUNTIFS($U$2:U65,U66,$V$2:V65,1)=0),1,0)</f>
        <v/>
      </c>
      <c r="W66" s="6">
        <f>IF(AND(U66&lt;&gt;"",COUNTIF($U$2:$U$300,U66)&gt;1),"DUPLICATE KEY","")</f>
        <v/>
      </c>
    </row>
    <row r="67">
      <c r="A67" s="6" t="n">
        <v>66</v>
      </c>
      <c r="B67" s="6" t="inlineStr">
        <is>
          <t>Merge Intervals</t>
        </is>
      </c>
      <c r="C67" s="6" t="inlineStr">
        <is>
          <t>LeetCode</t>
        </is>
      </c>
      <c r="D67" s="7" t="inlineStr">
        <is>
          <t>Open</t>
        </is>
      </c>
      <c r="E67" s="6" t="inlineStr">
        <is>
          <t>Sorting &amp; binary search</t>
        </is>
      </c>
      <c r="F67" s="6" t="inlineStr">
        <is>
          <t>Medium</t>
        </is>
      </c>
      <c r="G67" s="6" t="inlineStr">
        <is>
          <t>Essential</t>
        </is>
      </c>
      <c r="H67" s="6" t="n">
        <v>3</v>
      </c>
      <c r="I67" s="8" t="n"/>
      <c r="J67" s="9" t="inlineStr">
        <is>
          <t>Not started</t>
        </is>
      </c>
      <c r="K67" s="6">
        <f>IF(J67="Solved independently","Yes",IF(OR(J67="",J67="Not started"),"","No"))</f>
        <v/>
      </c>
      <c r="L67" s="9" t="n"/>
      <c r="M67" s="9" t="n"/>
      <c r="N67" s="9" t="n"/>
      <c r="O67" s="9" t="n"/>
      <c r="P67" s="10" t="n"/>
      <c r="Q67" s="9" t="n"/>
      <c r="R67" s="8" t="n"/>
      <c r="S67" s="11">
        <f>IF(R67="","",R67+IF(T67=0,3,IF(T67=1,7,IF(T67=2,21,45))))</f>
        <v/>
      </c>
      <c r="T67" s="9" t="n"/>
      <c r="U67" s="6">
        <f>IF(B67="","",LOWER(TRIM(B67)))</f>
        <v/>
      </c>
      <c r="V67" s="6">
        <f>IF(AND(U67&lt;&gt;"",OR(J67="Solved independently",J67="Solved with hints",J67="Solved after viewing solution"),COUNTIFS($U$2:U66,U67,$V$2:V66,1)=0),1,0)</f>
        <v/>
      </c>
      <c r="W67" s="6">
        <f>IF(AND(U67&lt;&gt;"",COUNTIF($U$2:$U$300,U67)&gt;1),"DUPLICATE KEY","")</f>
        <v/>
      </c>
    </row>
    <row r="68">
      <c r="A68" s="6" t="n">
        <v>67</v>
      </c>
      <c r="B68" s="6" t="inlineStr">
        <is>
          <t>Kth Largest Element in an Array</t>
        </is>
      </c>
      <c r="C68" s="6" t="inlineStr">
        <is>
          <t>LeetCode</t>
        </is>
      </c>
      <c r="D68" s="7" t="inlineStr">
        <is>
          <t>Open</t>
        </is>
      </c>
      <c r="E68" s="6" t="inlineStr">
        <is>
          <t>Sorting &amp; binary search</t>
        </is>
      </c>
      <c r="F68" s="6" t="inlineStr">
        <is>
          <t>Medium</t>
        </is>
      </c>
      <c r="G68" s="6" t="inlineStr">
        <is>
          <t>Recommended</t>
        </is>
      </c>
      <c r="H68" s="6" t="n">
        <v>3</v>
      </c>
      <c r="I68" s="8" t="n"/>
      <c r="J68" s="9" t="inlineStr">
        <is>
          <t>Not started</t>
        </is>
      </c>
      <c r="K68" s="6">
        <f>IF(J68="Solved independently","Yes",IF(OR(J68="",J68="Not started"),"","No"))</f>
        <v/>
      </c>
      <c r="L68" s="9" t="n"/>
      <c r="M68" s="9" t="n"/>
      <c r="N68" s="9" t="n"/>
      <c r="O68" s="9" t="n"/>
      <c r="P68" s="10" t="n"/>
      <c r="Q68" s="9" t="n"/>
      <c r="R68" s="8" t="n"/>
      <c r="S68" s="11">
        <f>IF(R68="","",R68+IF(T68=0,3,IF(T68=1,7,IF(T68=2,21,45))))</f>
        <v/>
      </c>
      <c r="T68" s="9" t="n"/>
      <c r="U68" s="6">
        <f>IF(B68="","",LOWER(TRIM(B68)))</f>
        <v/>
      </c>
      <c r="V68" s="6">
        <f>IF(AND(U68&lt;&gt;"",OR(J68="Solved independently",J68="Solved with hints",J68="Solved after viewing solution"),COUNTIFS($U$2:U67,U68,$V$2:V67,1)=0),1,0)</f>
        <v/>
      </c>
      <c r="W68" s="6">
        <f>IF(AND(U68&lt;&gt;"",COUNTIF($U$2:$U$300,U68)&gt;1),"DUPLICATE KEY","")</f>
        <v/>
      </c>
    </row>
    <row r="69">
      <c r="A69" s="6" t="n">
        <v>68</v>
      </c>
      <c r="B69" s="6" t="inlineStr">
        <is>
          <t>Palindrome Number</t>
        </is>
      </c>
      <c r="C69" s="6" t="inlineStr">
        <is>
          <t>LeetCode</t>
        </is>
      </c>
      <c r="D69" s="7" t="inlineStr">
        <is>
          <t>Open</t>
        </is>
      </c>
      <c r="E69" s="6" t="inlineStr">
        <is>
          <t>Prefix sums, math &amp; matrices</t>
        </is>
      </c>
      <c r="F69" s="6" t="inlineStr">
        <is>
          <t>Easy</t>
        </is>
      </c>
      <c r="G69" s="6" t="inlineStr">
        <is>
          <t>Recommended</t>
        </is>
      </c>
      <c r="H69" s="6" t="n">
        <v>4</v>
      </c>
      <c r="I69" s="8" t="n"/>
      <c r="J69" s="9" t="inlineStr">
        <is>
          <t>Not started</t>
        </is>
      </c>
      <c r="K69" s="6">
        <f>IF(J69="Solved independently","Yes",IF(OR(J69="",J69="Not started"),"","No"))</f>
        <v/>
      </c>
      <c r="L69" s="9" t="n"/>
      <c r="M69" s="9" t="n"/>
      <c r="N69" s="9" t="n"/>
      <c r="O69" s="9" t="n"/>
      <c r="P69" s="10" t="n"/>
      <c r="Q69" s="9" t="n"/>
      <c r="R69" s="8" t="n"/>
      <c r="S69" s="11">
        <f>IF(R69="","",R69+IF(T69=0,3,IF(T69=1,7,IF(T69=2,21,45))))</f>
        <v/>
      </c>
      <c r="T69" s="9" t="n"/>
      <c r="U69" s="6">
        <f>IF(B69="","",LOWER(TRIM(B69)))</f>
        <v/>
      </c>
      <c r="V69" s="6">
        <f>IF(AND(U69&lt;&gt;"",OR(J69="Solved independently",J69="Solved with hints",J69="Solved after viewing solution"),COUNTIFS($U$2:U68,U69,$V$2:V68,1)=0),1,0)</f>
        <v/>
      </c>
      <c r="W69" s="6">
        <f>IF(AND(U69&lt;&gt;"",COUNTIF($U$2:$U$300,U69)&gt;1),"DUPLICATE KEY","")</f>
        <v/>
      </c>
    </row>
    <row r="70">
      <c r="A70" s="6" t="n">
        <v>69</v>
      </c>
      <c r="B70" s="6" t="inlineStr">
        <is>
          <t>Reverse Integer</t>
        </is>
      </c>
      <c r="C70" s="6" t="inlineStr">
        <is>
          <t>LeetCode</t>
        </is>
      </c>
      <c r="D70" s="7" t="inlineStr">
        <is>
          <t>Open</t>
        </is>
      </c>
      <c r="E70" s="6" t="inlineStr">
        <is>
          <t>Prefix sums, math &amp; matrices</t>
        </is>
      </c>
      <c r="F70" s="6" t="inlineStr">
        <is>
          <t>Medium</t>
        </is>
      </c>
      <c r="G70" s="6" t="inlineStr">
        <is>
          <t>Recommended</t>
        </is>
      </c>
      <c r="H70" s="6" t="n">
        <v>4</v>
      </c>
      <c r="I70" s="8" t="n"/>
      <c r="J70" s="9" t="inlineStr">
        <is>
          <t>Not started</t>
        </is>
      </c>
      <c r="K70" s="6">
        <f>IF(J70="Solved independently","Yes",IF(OR(J70="",J70="Not started"),"","No"))</f>
        <v/>
      </c>
      <c r="L70" s="9" t="n"/>
      <c r="M70" s="9" t="n"/>
      <c r="N70" s="9" t="n"/>
      <c r="O70" s="9" t="n"/>
      <c r="P70" s="10" t="n"/>
      <c r="Q70" s="9" t="n"/>
      <c r="R70" s="8" t="n"/>
      <c r="S70" s="11">
        <f>IF(R70="","",R70+IF(T70=0,3,IF(T70=1,7,IF(T70=2,21,45))))</f>
        <v/>
      </c>
      <c r="T70" s="9" t="n"/>
      <c r="U70" s="6">
        <f>IF(B70="","",LOWER(TRIM(B70)))</f>
        <v/>
      </c>
      <c r="V70" s="6">
        <f>IF(AND(U70&lt;&gt;"",OR(J70="Solved independently",J70="Solved with hints",J70="Solved after viewing solution"),COUNTIFS($U$2:U69,U70,$V$2:V69,1)=0),1,0)</f>
        <v/>
      </c>
      <c r="W70" s="6">
        <f>IF(AND(U70&lt;&gt;"",COUNTIF($U$2:$U$300,U70)&gt;1),"DUPLICATE KEY","")</f>
        <v/>
      </c>
    </row>
    <row r="71">
      <c r="A71" s="6" t="n">
        <v>70</v>
      </c>
      <c r="B71" s="6" t="inlineStr">
        <is>
          <t>Count Primes</t>
        </is>
      </c>
      <c r="C71" s="6" t="inlineStr">
        <is>
          <t>LeetCode</t>
        </is>
      </c>
      <c r="D71" s="7" t="inlineStr">
        <is>
          <t>Open</t>
        </is>
      </c>
      <c r="E71" s="6" t="inlineStr">
        <is>
          <t>Prefix sums, math &amp; matrices</t>
        </is>
      </c>
      <c r="F71" s="6" t="inlineStr">
        <is>
          <t>Medium</t>
        </is>
      </c>
      <c r="G71" s="6" t="inlineStr">
        <is>
          <t>Essential</t>
        </is>
      </c>
      <c r="H71" s="6" t="n">
        <v>4</v>
      </c>
      <c r="I71" s="8" t="n"/>
      <c r="J71" s="9" t="inlineStr">
        <is>
          <t>Not started</t>
        </is>
      </c>
      <c r="K71" s="6">
        <f>IF(J71="Solved independently","Yes",IF(OR(J71="",J71="Not started"),"","No"))</f>
        <v/>
      </c>
      <c r="L71" s="9" t="n"/>
      <c r="M71" s="9" t="n"/>
      <c r="N71" s="9" t="n"/>
      <c r="O71" s="9" t="n"/>
      <c r="P71" s="10" t="n"/>
      <c r="Q71" s="9" t="n"/>
      <c r="R71" s="8" t="n"/>
      <c r="S71" s="11">
        <f>IF(R71="","",R71+IF(T71=0,3,IF(T71=1,7,IF(T71=2,21,45))))</f>
        <v/>
      </c>
      <c r="T71" s="9" t="n"/>
      <c r="U71" s="6">
        <f>IF(B71="","",LOWER(TRIM(B71)))</f>
        <v/>
      </c>
      <c r="V71" s="6">
        <f>IF(AND(U71&lt;&gt;"",OR(J71="Solved independently",J71="Solved with hints",J71="Solved after viewing solution"),COUNTIFS($U$2:U70,U71,$V$2:V70,1)=0),1,0)</f>
        <v/>
      </c>
      <c r="W71" s="6">
        <f>IF(AND(U71&lt;&gt;"",COUNTIF($U$2:$U$300,U71)&gt;1),"DUPLICATE KEY","")</f>
        <v/>
      </c>
    </row>
    <row r="72">
      <c r="A72" s="6" t="n">
        <v>71</v>
      </c>
      <c r="B72" s="6" t="inlineStr">
        <is>
          <t>Power of Two</t>
        </is>
      </c>
      <c r="C72" s="6" t="inlineStr">
        <is>
          <t>LeetCode</t>
        </is>
      </c>
      <c r="D72" s="7" t="inlineStr">
        <is>
          <t>Open</t>
        </is>
      </c>
      <c r="E72" s="6" t="inlineStr">
        <is>
          <t>Prefix sums, math &amp; matrices</t>
        </is>
      </c>
      <c r="F72" s="6" t="inlineStr">
        <is>
          <t>Easy</t>
        </is>
      </c>
      <c r="G72" s="6" t="inlineStr">
        <is>
          <t>Optional</t>
        </is>
      </c>
      <c r="H72" s="6" t="n">
        <v>4</v>
      </c>
      <c r="I72" s="8" t="n"/>
      <c r="J72" s="9" t="inlineStr">
        <is>
          <t>Not started</t>
        </is>
      </c>
      <c r="K72" s="6">
        <f>IF(J72="Solved independently","Yes",IF(OR(J72="",J72="Not started"),"","No"))</f>
        <v/>
      </c>
      <c r="L72" s="9" t="n"/>
      <c r="M72" s="9" t="n"/>
      <c r="N72" s="9" t="n"/>
      <c r="O72" s="9" t="n"/>
      <c r="P72" s="10" t="n"/>
      <c r="Q72" s="9" t="n"/>
      <c r="R72" s="8" t="n"/>
      <c r="S72" s="11">
        <f>IF(R72="","",R72+IF(T72=0,3,IF(T72=1,7,IF(T72=2,21,45))))</f>
        <v/>
      </c>
      <c r="T72" s="9" t="n"/>
      <c r="U72" s="6">
        <f>IF(B72="","",LOWER(TRIM(B72)))</f>
        <v/>
      </c>
      <c r="V72" s="6">
        <f>IF(AND(U72&lt;&gt;"",OR(J72="Solved independently",J72="Solved with hints",J72="Solved after viewing solution"),COUNTIFS($U$2:U71,U72,$V$2:V71,1)=0),1,0)</f>
        <v/>
      </c>
      <c r="W72" s="6">
        <f>IF(AND(U72&lt;&gt;"",COUNTIF($U$2:$U$300,U72)&gt;1),"DUPLICATE KEY","")</f>
        <v/>
      </c>
    </row>
    <row r="73">
      <c r="A73" s="6" t="n">
        <v>72</v>
      </c>
      <c r="B73" s="6" t="inlineStr">
        <is>
          <t>Pow(x, n)</t>
        </is>
      </c>
      <c r="C73" s="6" t="inlineStr">
        <is>
          <t>LeetCode</t>
        </is>
      </c>
      <c r="D73" s="7" t="inlineStr">
        <is>
          <t>Open</t>
        </is>
      </c>
      <c r="E73" s="6" t="inlineStr">
        <is>
          <t>Prefix sums, math &amp; matrices</t>
        </is>
      </c>
      <c r="F73" s="6" t="inlineStr">
        <is>
          <t>Medium</t>
        </is>
      </c>
      <c r="G73" s="6" t="inlineStr">
        <is>
          <t>Recommended</t>
        </is>
      </c>
      <c r="H73" s="6" t="n">
        <v>4</v>
      </c>
      <c r="I73" s="8" t="n"/>
      <c r="J73" s="9" t="inlineStr">
        <is>
          <t>Not started</t>
        </is>
      </c>
      <c r="K73" s="6">
        <f>IF(J73="Solved independently","Yes",IF(OR(J73="",J73="Not started"),"","No"))</f>
        <v/>
      </c>
      <c r="L73" s="9" t="n"/>
      <c r="M73" s="9" t="n"/>
      <c r="N73" s="9" t="n"/>
      <c r="O73" s="9" t="n"/>
      <c r="P73" s="10" t="n"/>
      <c r="Q73" s="9" t="n"/>
      <c r="R73" s="8" t="n"/>
      <c r="S73" s="11">
        <f>IF(R73="","",R73+IF(T73=0,3,IF(T73=1,7,IF(T73=2,21,45))))</f>
        <v/>
      </c>
      <c r="T73" s="9" t="n"/>
      <c r="U73" s="6">
        <f>IF(B73="","",LOWER(TRIM(B73)))</f>
        <v/>
      </c>
      <c r="V73" s="6">
        <f>IF(AND(U73&lt;&gt;"",OR(J73="Solved independently",J73="Solved with hints",J73="Solved after viewing solution"),COUNTIFS($U$2:U72,U73,$V$2:V72,1)=0),1,0)</f>
        <v/>
      </c>
      <c r="W73" s="6">
        <f>IF(AND(U73&lt;&gt;"",COUNTIF($U$2:$U$300,U73)&gt;1),"DUPLICATE KEY","")</f>
        <v/>
      </c>
    </row>
    <row r="74">
      <c r="A74" s="6" t="n">
        <v>73</v>
      </c>
      <c r="B74" s="6" t="inlineStr">
        <is>
          <t>Rotate Image</t>
        </is>
      </c>
      <c r="C74" s="6" t="inlineStr">
        <is>
          <t>LeetCode</t>
        </is>
      </c>
      <c r="D74" s="7" t="inlineStr">
        <is>
          <t>Open</t>
        </is>
      </c>
      <c r="E74" s="6" t="inlineStr">
        <is>
          <t>Prefix sums, math &amp; matrices</t>
        </is>
      </c>
      <c r="F74" s="6" t="inlineStr">
        <is>
          <t>Medium</t>
        </is>
      </c>
      <c r="G74" s="6" t="inlineStr">
        <is>
          <t>Essential</t>
        </is>
      </c>
      <c r="H74" s="6" t="n">
        <v>4</v>
      </c>
      <c r="I74" s="8" t="n"/>
      <c r="J74" s="9" t="inlineStr">
        <is>
          <t>Not started</t>
        </is>
      </c>
      <c r="K74" s="6">
        <f>IF(J74="Solved independently","Yes",IF(OR(J74="",J74="Not started"),"","No"))</f>
        <v/>
      </c>
      <c r="L74" s="9" t="n"/>
      <c r="M74" s="9" t="n"/>
      <c r="N74" s="9" t="n"/>
      <c r="O74" s="9" t="n"/>
      <c r="P74" s="10" t="n"/>
      <c r="Q74" s="9" t="n"/>
      <c r="R74" s="8" t="n"/>
      <c r="S74" s="11">
        <f>IF(R74="","",R74+IF(T74=0,3,IF(T74=1,7,IF(T74=2,21,45))))</f>
        <v/>
      </c>
      <c r="T74" s="9" t="n"/>
      <c r="U74" s="6">
        <f>IF(B74="","",LOWER(TRIM(B74)))</f>
        <v/>
      </c>
      <c r="V74" s="6">
        <f>IF(AND(U74&lt;&gt;"",OR(J74="Solved independently",J74="Solved with hints",J74="Solved after viewing solution"),COUNTIFS($U$2:U73,U74,$V$2:V73,1)=0),1,0)</f>
        <v/>
      </c>
      <c r="W74" s="6">
        <f>IF(AND(U74&lt;&gt;"",COUNTIF($U$2:$U$300,U74)&gt;1),"DUPLICATE KEY","")</f>
        <v/>
      </c>
    </row>
    <row r="75">
      <c r="A75" s="6" t="n">
        <v>74</v>
      </c>
      <c r="B75" s="6" t="inlineStr">
        <is>
          <t>Spiral Matrix</t>
        </is>
      </c>
      <c r="C75" s="6" t="inlineStr">
        <is>
          <t>LeetCode</t>
        </is>
      </c>
      <c r="D75" s="7" t="inlineStr">
        <is>
          <t>Open</t>
        </is>
      </c>
      <c r="E75" s="6" t="inlineStr">
        <is>
          <t>Prefix sums, math &amp; matrices</t>
        </is>
      </c>
      <c r="F75" s="6" t="inlineStr">
        <is>
          <t>Medium</t>
        </is>
      </c>
      <c r="G75" s="6" t="inlineStr">
        <is>
          <t>Essential</t>
        </is>
      </c>
      <c r="H75" s="6" t="n">
        <v>4</v>
      </c>
      <c r="I75" s="8" t="n"/>
      <c r="J75" s="9" t="inlineStr">
        <is>
          <t>Not started</t>
        </is>
      </c>
      <c r="K75" s="6">
        <f>IF(J75="Solved independently","Yes",IF(OR(J75="",J75="Not started"),"","No"))</f>
        <v/>
      </c>
      <c r="L75" s="9" t="n"/>
      <c r="M75" s="9" t="n"/>
      <c r="N75" s="9" t="n"/>
      <c r="O75" s="9" t="n"/>
      <c r="P75" s="10" t="n"/>
      <c r="Q75" s="9" t="n"/>
      <c r="R75" s="8" t="n"/>
      <c r="S75" s="11">
        <f>IF(R75="","",R75+IF(T75=0,3,IF(T75=1,7,IF(T75=2,21,45))))</f>
        <v/>
      </c>
      <c r="T75" s="9" t="n"/>
      <c r="U75" s="6">
        <f>IF(B75="","",LOWER(TRIM(B75)))</f>
        <v/>
      </c>
      <c r="V75" s="6">
        <f>IF(AND(U75&lt;&gt;"",OR(J75="Solved independently",J75="Solved with hints",J75="Solved after viewing solution"),COUNTIFS($U$2:U74,U75,$V$2:V74,1)=0),1,0)</f>
        <v/>
      </c>
      <c r="W75" s="6">
        <f>IF(AND(U75&lt;&gt;"",COUNTIF($U$2:$U$300,U75)&gt;1),"DUPLICATE KEY","")</f>
        <v/>
      </c>
    </row>
    <row r="76">
      <c r="A76" s="6" t="n">
        <v>75</v>
      </c>
      <c r="B76" s="6" t="inlineStr">
        <is>
          <t>Set Matrix Zeroes</t>
        </is>
      </c>
      <c r="C76" s="6" t="inlineStr">
        <is>
          <t>LeetCode</t>
        </is>
      </c>
      <c r="D76" s="7" t="inlineStr">
        <is>
          <t>Open</t>
        </is>
      </c>
      <c r="E76" s="6" t="inlineStr">
        <is>
          <t>Prefix sums, math &amp; matrices</t>
        </is>
      </c>
      <c r="F76" s="6" t="inlineStr">
        <is>
          <t>Medium</t>
        </is>
      </c>
      <c r="G76" s="6" t="inlineStr">
        <is>
          <t>Recommended</t>
        </is>
      </c>
      <c r="H76" s="6" t="n">
        <v>4</v>
      </c>
      <c r="I76" s="8" t="n"/>
      <c r="J76" s="9" t="inlineStr">
        <is>
          <t>Not started</t>
        </is>
      </c>
      <c r="K76" s="6">
        <f>IF(J76="Solved independently","Yes",IF(OR(J76="",J76="Not started"),"","No"))</f>
        <v/>
      </c>
      <c r="L76" s="9" t="n"/>
      <c r="M76" s="9" t="n"/>
      <c r="N76" s="9" t="n"/>
      <c r="O76" s="9" t="n"/>
      <c r="P76" s="10" t="n"/>
      <c r="Q76" s="9" t="n"/>
      <c r="R76" s="8" t="n"/>
      <c r="S76" s="11">
        <f>IF(R76="","",R76+IF(T76=0,3,IF(T76=1,7,IF(T76=2,21,45))))</f>
        <v/>
      </c>
      <c r="T76" s="9" t="n"/>
      <c r="U76" s="6">
        <f>IF(B76="","",LOWER(TRIM(B76)))</f>
        <v/>
      </c>
      <c r="V76" s="6">
        <f>IF(AND(U76&lt;&gt;"",OR(J76="Solved independently",J76="Solved with hints",J76="Solved after viewing solution"),COUNTIFS($U$2:U75,U76,$V$2:V75,1)=0),1,0)</f>
        <v/>
      </c>
      <c r="W76" s="6">
        <f>IF(AND(U76&lt;&gt;"",COUNTIF($U$2:$U$300,U76)&gt;1),"DUPLICATE KEY","")</f>
        <v/>
      </c>
    </row>
    <row r="77">
      <c r="A77" s="6" t="n">
        <v>76</v>
      </c>
      <c r="B77" s="6" t="inlineStr">
        <is>
          <t>Valid Sudoku</t>
        </is>
      </c>
      <c r="C77" s="6" t="inlineStr">
        <is>
          <t>LeetCode</t>
        </is>
      </c>
      <c r="D77" s="7" t="inlineStr">
        <is>
          <t>Open</t>
        </is>
      </c>
      <c r="E77" s="6" t="inlineStr">
        <is>
          <t>Prefix sums, math &amp; matrices</t>
        </is>
      </c>
      <c r="F77" s="6" t="inlineStr">
        <is>
          <t>Medium</t>
        </is>
      </c>
      <c r="G77" s="6" t="inlineStr">
        <is>
          <t>Recommended</t>
        </is>
      </c>
      <c r="H77" s="6" t="n">
        <v>4</v>
      </c>
      <c r="I77" s="8" t="n"/>
      <c r="J77" s="9" t="inlineStr">
        <is>
          <t>Not started</t>
        </is>
      </c>
      <c r="K77" s="6">
        <f>IF(J77="Solved independently","Yes",IF(OR(J77="",J77="Not started"),"","No"))</f>
        <v/>
      </c>
      <c r="L77" s="9" t="n"/>
      <c r="M77" s="9" t="n"/>
      <c r="N77" s="9" t="n"/>
      <c r="O77" s="9" t="n"/>
      <c r="P77" s="10" t="n"/>
      <c r="Q77" s="9" t="n"/>
      <c r="R77" s="8" t="n"/>
      <c r="S77" s="11">
        <f>IF(R77="","",R77+IF(T77=0,3,IF(T77=1,7,IF(T77=2,21,45))))</f>
        <v/>
      </c>
      <c r="T77" s="9" t="n"/>
      <c r="U77" s="6">
        <f>IF(B77="","",LOWER(TRIM(B77)))</f>
        <v/>
      </c>
      <c r="V77" s="6">
        <f>IF(AND(U77&lt;&gt;"",OR(J77="Solved independently",J77="Solved with hints",J77="Solved after viewing solution"),COUNTIFS($U$2:U76,U77,$V$2:V76,1)=0),1,0)</f>
        <v/>
      </c>
      <c r="W77" s="6">
        <f>IF(AND(U77&lt;&gt;"",COUNTIF($U$2:$U$300,U77)&gt;1),"DUPLICATE KEY","")</f>
        <v/>
      </c>
    </row>
    <row r="78">
      <c r="A78" s="6" t="n">
        <v>77</v>
      </c>
      <c r="B78" s="6" t="inlineStr">
        <is>
          <t>Insert Interval</t>
        </is>
      </c>
      <c r="C78" s="6" t="inlineStr">
        <is>
          <t>LeetCode</t>
        </is>
      </c>
      <c r="D78" s="7" t="inlineStr">
        <is>
          <t>Open</t>
        </is>
      </c>
      <c r="E78" s="6" t="inlineStr">
        <is>
          <t>Prefix sums, math &amp; matrices</t>
        </is>
      </c>
      <c r="F78" s="6" t="inlineStr">
        <is>
          <t>Medium</t>
        </is>
      </c>
      <c r="G78" s="6" t="inlineStr">
        <is>
          <t>Recommended</t>
        </is>
      </c>
      <c r="H78" s="6" t="n">
        <v>4</v>
      </c>
      <c r="I78" s="8" t="n"/>
      <c r="J78" s="9" t="inlineStr">
        <is>
          <t>Not started</t>
        </is>
      </c>
      <c r="K78" s="6">
        <f>IF(J78="Solved independently","Yes",IF(OR(J78="",J78="Not started"),"","No"))</f>
        <v/>
      </c>
      <c r="L78" s="9" t="n"/>
      <c r="M78" s="9" t="n"/>
      <c r="N78" s="9" t="n"/>
      <c r="O78" s="9" t="n"/>
      <c r="P78" s="10" t="n"/>
      <c r="Q78" s="9" t="n"/>
      <c r="R78" s="8" t="n"/>
      <c r="S78" s="11">
        <f>IF(R78="","",R78+IF(T78=0,3,IF(T78=1,7,IF(T78=2,21,45))))</f>
        <v/>
      </c>
      <c r="T78" s="9" t="n"/>
      <c r="U78" s="6">
        <f>IF(B78="","",LOWER(TRIM(B78)))</f>
        <v/>
      </c>
      <c r="V78" s="6">
        <f>IF(AND(U78&lt;&gt;"",OR(J78="Solved independently",J78="Solved with hints",J78="Solved after viewing solution"),COUNTIFS($U$2:U77,U78,$V$2:V77,1)=0),1,0)</f>
        <v/>
      </c>
      <c r="W78" s="6">
        <f>IF(AND(U78&lt;&gt;"",COUNTIF($U$2:$U$300,U78)&gt;1),"DUPLICATE KEY","")</f>
        <v/>
      </c>
    </row>
    <row r="79">
      <c r="A79" s="6" t="n">
        <v>78</v>
      </c>
      <c r="B79" s="6" t="inlineStr">
        <is>
          <t>Number of 1 Bits</t>
        </is>
      </c>
      <c r="C79" s="6" t="inlineStr">
        <is>
          <t>LeetCode</t>
        </is>
      </c>
      <c r="D79" s="7" t="inlineStr">
        <is>
          <t>Open</t>
        </is>
      </c>
      <c r="E79" s="6" t="inlineStr">
        <is>
          <t>Bit manipulation</t>
        </is>
      </c>
      <c r="F79" s="6" t="inlineStr">
        <is>
          <t>Easy</t>
        </is>
      </c>
      <c r="G79" s="6" t="inlineStr">
        <is>
          <t>Essential</t>
        </is>
      </c>
      <c r="H79" s="6" t="n">
        <v>4</v>
      </c>
      <c r="I79" s="8" t="n"/>
      <c r="J79" s="9" t="inlineStr">
        <is>
          <t>Not started</t>
        </is>
      </c>
      <c r="K79" s="6">
        <f>IF(J79="Solved independently","Yes",IF(OR(J79="",J79="Not started"),"","No"))</f>
        <v/>
      </c>
      <c r="L79" s="9" t="n"/>
      <c r="M79" s="9" t="n"/>
      <c r="N79" s="9" t="n"/>
      <c r="O79" s="9" t="n"/>
      <c r="P79" s="10" t="n"/>
      <c r="Q79" s="9" t="n"/>
      <c r="R79" s="8" t="n"/>
      <c r="S79" s="11">
        <f>IF(R79="","",R79+IF(T79=0,3,IF(T79=1,7,IF(T79=2,21,45))))</f>
        <v/>
      </c>
      <c r="T79" s="9" t="n"/>
      <c r="U79" s="6">
        <f>IF(B79="","",LOWER(TRIM(B79)))</f>
        <v/>
      </c>
      <c r="V79" s="6">
        <f>IF(AND(U79&lt;&gt;"",OR(J79="Solved independently",J79="Solved with hints",J79="Solved after viewing solution"),COUNTIFS($U$2:U78,U79,$V$2:V78,1)=0),1,0)</f>
        <v/>
      </c>
      <c r="W79" s="6">
        <f>IF(AND(U79&lt;&gt;"",COUNTIF($U$2:$U$300,U79)&gt;1),"DUPLICATE KEY","")</f>
        <v/>
      </c>
    </row>
    <row r="80">
      <c r="A80" s="6" t="n">
        <v>79</v>
      </c>
      <c r="B80" s="6" t="inlineStr">
        <is>
          <t>Counting Bits</t>
        </is>
      </c>
      <c r="C80" s="6" t="inlineStr">
        <is>
          <t>LeetCode</t>
        </is>
      </c>
      <c r="D80" s="7" t="inlineStr">
        <is>
          <t>Open</t>
        </is>
      </c>
      <c r="E80" s="6" t="inlineStr">
        <is>
          <t>Bit manipulation</t>
        </is>
      </c>
      <c r="F80" s="6" t="inlineStr">
        <is>
          <t>Easy</t>
        </is>
      </c>
      <c r="G80" s="6" t="inlineStr">
        <is>
          <t>Recommended</t>
        </is>
      </c>
      <c r="H80" s="6" t="n">
        <v>4</v>
      </c>
      <c r="I80" s="8" t="n"/>
      <c r="J80" s="9" t="inlineStr">
        <is>
          <t>Not started</t>
        </is>
      </c>
      <c r="K80" s="6">
        <f>IF(J80="Solved independently","Yes",IF(OR(J80="",J80="Not started"),"","No"))</f>
        <v/>
      </c>
      <c r="L80" s="9" t="n"/>
      <c r="M80" s="9" t="n"/>
      <c r="N80" s="9" t="n"/>
      <c r="O80" s="9" t="n"/>
      <c r="P80" s="10" t="n"/>
      <c r="Q80" s="9" t="n"/>
      <c r="R80" s="8" t="n"/>
      <c r="S80" s="11">
        <f>IF(R80="","",R80+IF(T80=0,3,IF(T80=1,7,IF(T80=2,21,45))))</f>
        <v/>
      </c>
      <c r="T80" s="9" t="n"/>
      <c r="U80" s="6">
        <f>IF(B80="","",LOWER(TRIM(B80)))</f>
        <v/>
      </c>
      <c r="V80" s="6">
        <f>IF(AND(U80&lt;&gt;"",OR(J80="Solved independently",J80="Solved with hints",J80="Solved after viewing solution"),COUNTIFS($U$2:U79,U80,$V$2:V79,1)=0),1,0)</f>
        <v/>
      </c>
      <c r="W80" s="6">
        <f>IF(AND(U80&lt;&gt;"",COUNTIF($U$2:$U$300,U80)&gt;1),"DUPLICATE KEY","")</f>
        <v/>
      </c>
    </row>
    <row r="81">
      <c r="A81" s="6" t="n">
        <v>80</v>
      </c>
      <c r="B81" s="6" t="inlineStr">
        <is>
          <t>Reverse Bits</t>
        </is>
      </c>
      <c r="C81" s="6" t="inlineStr">
        <is>
          <t>LeetCode</t>
        </is>
      </c>
      <c r="D81" s="7" t="inlineStr">
        <is>
          <t>Open</t>
        </is>
      </c>
      <c r="E81" s="6" t="inlineStr">
        <is>
          <t>Bit manipulation</t>
        </is>
      </c>
      <c r="F81" s="6" t="inlineStr">
        <is>
          <t>Easy</t>
        </is>
      </c>
      <c r="G81" s="6" t="inlineStr">
        <is>
          <t>Optional</t>
        </is>
      </c>
      <c r="H81" s="6" t="n">
        <v>4</v>
      </c>
      <c r="I81" s="8" t="n"/>
      <c r="J81" s="9" t="inlineStr">
        <is>
          <t>Not started</t>
        </is>
      </c>
      <c r="K81" s="6">
        <f>IF(J81="Solved independently","Yes",IF(OR(J81="",J81="Not started"),"","No"))</f>
        <v/>
      </c>
      <c r="L81" s="9" t="n"/>
      <c r="M81" s="9" t="n"/>
      <c r="N81" s="9" t="n"/>
      <c r="O81" s="9" t="n"/>
      <c r="P81" s="10" t="n"/>
      <c r="Q81" s="9" t="n"/>
      <c r="R81" s="8" t="n"/>
      <c r="S81" s="11">
        <f>IF(R81="","",R81+IF(T81=0,3,IF(T81=1,7,IF(T81=2,21,45))))</f>
        <v/>
      </c>
      <c r="T81" s="9" t="n"/>
      <c r="U81" s="6">
        <f>IF(B81="","",LOWER(TRIM(B81)))</f>
        <v/>
      </c>
      <c r="V81" s="6">
        <f>IF(AND(U81&lt;&gt;"",OR(J81="Solved independently",J81="Solved with hints",J81="Solved after viewing solution"),COUNTIFS($U$2:U80,U81,$V$2:V80,1)=0),1,0)</f>
        <v/>
      </c>
      <c r="W81" s="6">
        <f>IF(AND(U81&lt;&gt;"",COUNTIF($U$2:$U$300,U81)&gt;1),"DUPLICATE KEY","")</f>
        <v/>
      </c>
    </row>
    <row r="82">
      <c r="A82" s="6" t="n">
        <v>81</v>
      </c>
      <c r="B82" s="6" t="inlineStr">
        <is>
          <t>Sum of Two Integers</t>
        </is>
      </c>
      <c r="C82" s="6" t="inlineStr">
        <is>
          <t>LeetCode</t>
        </is>
      </c>
      <c r="D82" s="7" t="inlineStr">
        <is>
          <t>Open</t>
        </is>
      </c>
      <c r="E82" s="6" t="inlineStr">
        <is>
          <t>Bit manipulation</t>
        </is>
      </c>
      <c r="F82" s="6" t="inlineStr">
        <is>
          <t>Medium</t>
        </is>
      </c>
      <c r="G82" s="6" t="inlineStr">
        <is>
          <t>Optional</t>
        </is>
      </c>
      <c r="H82" s="6" t="n">
        <v>4</v>
      </c>
      <c r="I82" s="8" t="n"/>
      <c r="J82" s="9" t="inlineStr">
        <is>
          <t>Not started</t>
        </is>
      </c>
      <c r="K82" s="6">
        <f>IF(J82="Solved independently","Yes",IF(OR(J82="",J82="Not started"),"","No"))</f>
        <v/>
      </c>
      <c r="L82" s="9" t="n"/>
      <c r="M82" s="9" t="n"/>
      <c r="N82" s="9" t="n"/>
      <c r="O82" s="9" t="n"/>
      <c r="P82" s="10" t="n"/>
      <c r="Q82" s="9" t="n"/>
      <c r="R82" s="8" t="n"/>
      <c r="S82" s="11">
        <f>IF(R82="","",R82+IF(T82=0,3,IF(T82=1,7,IF(T82=2,21,45))))</f>
        <v/>
      </c>
      <c r="T82" s="9" t="n"/>
      <c r="U82" s="6">
        <f>IF(B82="","",LOWER(TRIM(B82)))</f>
        <v/>
      </c>
      <c r="V82" s="6">
        <f>IF(AND(U82&lt;&gt;"",OR(J82="Solved independently",J82="Solved with hints",J82="Solved after viewing solution"),COUNTIFS($U$2:U81,U82,$V$2:V81,1)=0),1,0)</f>
        <v/>
      </c>
      <c r="W82" s="6">
        <f>IF(AND(U82&lt;&gt;"",COUNTIF($U$2:$U$300,U82)&gt;1),"DUPLICATE KEY","")</f>
        <v/>
      </c>
    </row>
    <row r="83">
      <c r="A83" s="6" t="n">
        <v>82</v>
      </c>
      <c r="B83" s="6" t="inlineStr">
        <is>
          <t>Fibonacci Number</t>
        </is>
      </c>
      <c r="C83" s="6" t="inlineStr">
        <is>
          <t>LeetCode</t>
        </is>
      </c>
      <c r="D83" s="7" t="inlineStr">
        <is>
          <t>Open</t>
        </is>
      </c>
      <c r="E83" s="6" t="inlineStr">
        <is>
          <t>Recursion &amp; backtracking</t>
        </is>
      </c>
      <c r="F83" s="6" t="inlineStr">
        <is>
          <t>Easy</t>
        </is>
      </c>
      <c r="G83" s="6" t="inlineStr">
        <is>
          <t>Essential</t>
        </is>
      </c>
      <c r="H83" s="6" t="n">
        <v>4</v>
      </c>
      <c r="I83" s="8" t="n"/>
      <c r="J83" s="9" t="inlineStr">
        <is>
          <t>Not started</t>
        </is>
      </c>
      <c r="K83" s="6">
        <f>IF(J83="Solved independently","Yes",IF(OR(J83="",J83="Not started"),"","No"))</f>
        <v/>
      </c>
      <c r="L83" s="9" t="n"/>
      <c r="M83" s="9" t="n"/>
      <c r="N83" s="9" t="n"/>
      <c r="O83" s="9" t="n"/>
      <c r="P83" s="10" t="n"/>
      <c r="Q83" s="9" t="n"/>
      <c r="R83" s="8" t="n"/>
      <c r="S83" s="11">
        <f>IF(R83="","",R83+IF(T83=0,3,IF(T83=1,7,IF(T83=2,21,45))))</f>
        <v/>
      </c>
      <c r="T83" s="9" t="n"/>
      <c r="U83" s="6">
        <f>IF(B83="","",LOWER(TRIM(B83)))</f>
        <v/>
      </c>
      <c r="V83" s="6">
        <f>IF(AND(U83&lt;&gt;"",OR(J83="Solved independently",J83="Solved with hints",J83="Solved after viewing solution"),COUNTIFS($U$2:U82,U83,$V$2:V82,1)=0),1,0)</f>
        <v/>
      </c>
      <c r="W83" s="6">
        <f>IF(AND(U83&lt;&gt;"",COUNTIF($U$2:$U$300,U83)&gt;1),"DUPLICATE KEY","")</f>
        <v/>
      </c>
    </row>
    <row r="84">
      <c r="A84" s="6" t="n">
        <v>83</v>
      </c>
      <c r="B84" s="6" t="inlineStr">
        <is>
          <t>Subsets</t>
        </is>
      </c>
      <c r="C84" s="6" t="inlineStr">
        <is>
          <t>LeetCode</t>
        </is>
      </c>
      <c r="D84" s="7" t="inlineStr">
        <is>
          <t>Open</t>
        </is>
      </c>
      <c r="E84" s="6" t="inlineStr">
        <is>
          <t>Recursion &amp; backtracking</t>
        </is>
      </c>
      <c r="F84" s="6" t="inlineStr">
        <is>
          <t>Medium</t>
        </is>
      </c>
      <c r="G84" s="6" t="inlineStr">
        <is>
          <t>Essential</t>
        </is>
      </c>
      <c r="H84" s="6" t="n">
        <v>4</v>
      </c>
      <c r="I84" s="8" t="n"/>
      <c r="J84" s="9" t="inlineStr">
        <is>
          <t>Not started</t>
        </is>
      </c>
      <c r="K84" s="6">
        <f>IF(J84="Solved independently","Yes",IF(OR(J84="",J84="Not started"),"","No"))</f>
        <v/>
      </c>
      <c r="L84" s="9" t="n"/>
      <c r="M84" s="9" t="n"/>
      <c r="N84" s="9" t="n"/>
      <c r="O84" s="9" t="n"/>
      <c r="P84" s="10" t="n"/>
      <c r="Q84" s="9" t="n"/>
      <c r="R84" s="8" t="n"/>
      <c r="S84" s="11">
        <f>IF(R84="","",R84+IF(T84=0,3,IF(T84=1,7,IF(T84=2,21,45))))</f>
        <v/>
      </c>
      <c r="T84" s="9" t="n"/>
      <c r="U84" s="6">
        <f>IF(B84="","",LOWER(TRIM(B84)))</f>
        <v/>
      </c>
      <c r="V84" s="6">
        <f>IF(AND(U84&lt;&gt;"",OR(J84="Solved independently",J84="Solved with hints",J84="Solved after viewing solution"),COUNTIFS($U$2:U83,U84,$V$2:V83,1)=0),1,0)</f>
        <v/>
      </c>
      <c r="W84" s="6">
        <f>IF(AND(U84&lt;&gt;"",COUNTIF($U$2:$U$300,U84)&gt;1),"DUPLICATE KEY","")</f>
        <v/>
      </c>
    </row>
    <row r="85">
      <c r="A85" s="6" t="n">
        <v>84</v>
      </c>
      <c r="B85" s="6" t="inlineStr">
        <is>
          <t>Permutations</t>
        </is>
      </c>
      <c r="C85" s="6" t="inlineStr">
        <is>
          <t>LeetCode</t>
        </is>
      </c>
      <c r="D85" s="7" t="inlineStr">
        <is>
          <t>Open</t>
        </is>
      </c>
      <c r="E85" s="6" t="inlineStr">
        <is>
          <t>Recursion &amp; backtracking</t>
        </is>
      </c>
      <c r="F85" s="6" t="inlineStr">
        <is>
          <t>Medium</t>
        </is>
      </c>
      <c r="G85" s="6" t="inlineStr">
        <is>
          <t>Essential</t>
        </is>
      </c>
      <c r="H85" s="6" t="n">
        <v>4</v>
      </c>
      <c r="I85" s="8" t="n"/>
      <c r="J85" s="9" t="inlineStr">
        <is>
          <t>Not started</t>
        </is>
      </c>
      <c r="K85" s="6">
        <f>IF(J85="Solved independently","Yes",IF(OR(J85="",J85="Not started"),"","No"))</f>
        <v/>
      </c>
      <c r="L85" s="9" t="n"/>
      <c r="M85" s="9" t="n"/>
      <c r="N85" s="9" t="n"/>
      <c r="O85" s="9" t="n"/>
      <c r="P85" s="10" t="n"/>
      <c r="Q85" s="9" t="n"/>
      <c r="R85" s="8" t="n"/>
      <c r="S85" s="11">
        <f>IF(R85="","",R85+IF(T85=0,3,IF(T85=1,7,IF(T85=2,21,45))))</f>
        <v/>
      </c>
      <c r="T85" s="9" t="n"/>
      <c r="U85" s="6">
        <f>IF(B85="","",LOWER(TRIM(B85)))</f>
        <v/>
      </c>
      <c r="V85" s="6">
        <f>IF(AND(U85&lt;&gt;"",OR(J85="Solved independently",J85="Solved with hints",J85="Solved after viewing solution"),COUNTIFS($U$2:U84,U85,$V$2:V84,1)=0),1,0)</f>
        <v/>
      </c>
      <c r="W85" s="6">
        <f>IF(AND(U85&lt;&gt;"",COUNTIF($U$2:$U$300,U85)&gt;1),"DUPLICATE KEY","")</f>
        <v/>
      </c>
    </row>
    <row r="86">
      <c r="A86" s="6" t="n">
        <v>85</v>
      </c>
      <c r="B86" s="6" t="inlineStr">
        <is>
          <t>Combination Sum</t>
        </is>
      </c>
      <c r="C86" s="6" t="inlineStr">
        <is>
          <t>LeetCode</t>
        </is>
      </c>
      <c r="D86" s="7" t="inlineStr">
        <is>
          <t>Open</t>
        </is>
      </c>
      <c r="E86" s="6" t="inlineStr">
        <is>
          <t>Recursion &amp; backtracking</t>
        </is>
      </c>
      <c r="F86" s="6" t="inlineStr">
        <is>
          <t>Medium</t>
        </is>
      </c>
      <c r="G86" s="6" t="inlineStr">
        <is>
          <t>Essential</t>
        </is>
      </c>
      <c r="H86" s="6" t="n">
        <v>4</v>
      </c>
      <c r="I86" s="8" t="n"/>
      <c r="J86" s="9" t="inlineStr">
        <is>
          <t>Not started</t>
        </is>
      </c>
      <c r="K86" s="6">
        <f>IF(J86="Solved independently","Yes",IF(OR(J86="",J86="Not started"),"","No"))</f>
        <v/>
      </c>
      <c r="L86" s="9" t="n"/>
      <c r="M86" s="9" t="n"/>
      <c r="N86" s="9" t="n"/>
      <c r="O86" s="9" t="n"/>
      <c r="P86" s="10" t="n"/>
      <c r="Q86" s="9" t="n"/>
      <c r="R86" s="8" t="n"/>
      <c r="S86" s="11">
        <f>IF(R86="","",R86+IF(T86=0,3,IF(T86=1,7,IF(T86=2,21,45))))</f>
        <v/>
      </c>
      <c r="T86" s="9" t="n"/>
      <c r="U86" s="6">
        <f>IF(B86="","",LOWER(TRIM(B86)))</f>
        <v/>
      </c>
      <c r="V86" s="6">
        <f>IF(AND(U86&lt;&gt;"",OR(J86="Solved independently",J86="Solved with hints",J86="Solved after viewing solution"),COUNTIFS($U$2:U85,U86,$V$2:V85,1)=0),1,0)</f>
        <v/>
      </c>
      <c r="W86" s="6">
        <f>IF(AND(U86&lt;&gt;"",COUNTIF($U$2:$U$300,U86)&gt;1),"DUPLICATE KEY","")</f>
        <v/>
      </c>
    </row>
    <row r="87">
      <c r="A87" s="6" t="n">
        <v>86</v>
      </c>
      <c r="B87" s="6" t="inlineStr">
        <is>
          <t>Letter Combinations of a Phone Number</t>
        </is>
      </c>
      <c r="C87" s="6" t="inlineStr">
        <is>
          <t>LeetCode</t>
        </is>
      </c>
      <c r="D87" s="7" t="inlineStr">
        <is>
          <t>Open</t>
        </is>
      </c>
      <c r="E87" s="6" t="inlineStr">
        <is>
          <t>Recursion &amp; backtracking</t>
        </is>
      </c>
      <c r="F87" s="6" t="inlineStr">
        <is>
          <t>Medium</t>
        </is>
      </c>
      <c r="G87" s="6" t="inlineStr">
        <is>
          <t>Recommended</t>
        </is>
      </c>
      <c r="H87" s="6" t="n">
        <v>4</v>
      </c>
      <c r="I87" s="8" t="n"/>
      <c r="J87" s="9" t="inlineStr">
        <is>
          <t>Not started</t>
        </is>
      </c>
      <c r="K87" s="6">
        <f>IF(J87="Solved independently","Yes",IF(OR(J87="",J87="Not started"),"","No"))</f>
        <v/>
      </c>
      <c r="L87" s="9" t="n"/>
      <c r="M87" s="9" t="n"/>
      <c r="N87" s="9" t="n"/>
      <c r="O87" s="9" t="n"/>
      <c r="P87" s="10" t="n"/>
      <c r="Q87" s="9" t="n"/>
      <c r="R87" s="8" t="n"/>
      <c r="S87" s="11">
        <f>IF(R87="","",R87+IF(T87=0,3,IF(T87=1,7,IF(T87=2,21,45))))</f>
        <v/>
      </c>
      <c r="T87" s="9" t="n"/>
      <c r="U87" s="6">
        <f>IF(B87="","",LOWER(TRIM(B87)))</f>
        <v/>
      </c>
      <c r="V87" s="6">
        <f>IF(AND(U87&lt;&gt;"",OR(J87="Solved independently",J87="Solved with hints",J87="Solved after viewing solution"),COUNTIFS($U$2:U86,U87,$V$2:V86,1)=0),1,0)</f>
        <v/>
      </c>
      <c r="W87" s="6">
        <f>IF(AND(U87&lt;&gt;"",COUNTIF($U$2:$U$300,U87)&gt;1),"DUPLICATE KEY","")</f>
        <v/>
      </c>
    </row>
    <row r="88">
      <c r="A88" s="6" t="n">
        <v>87</v>
      </c>
      <c r="B88" s="6" t="inlineStr">
        <is>
          <t>Generate Parentheses</t>
        </is>
      </c>
      <c r="C88" s="6" t="inlineStr">
        <is>
          <t>LeetCode</t>
        </is>
      </c>
      <c r="D88" s="7" t="inlineStr">
        <is>
          <t>Open</t>
        </is>
      </c>
      <c r="E88" s="6" t="inlineStr">
        <is>
          <t>Recursion &amp; backtracking</t>
        </is>
      </c>
      <c r="F88" s="6" t="inlineStr">
        <is>
          <t>Medium</t>
        </is>
      </c>
      <c r="G88" s="6" t="inlineStr">
        <is>
          <t>Essential</t>
        </is>
      </c>
      <c r="H88" s="6" t="n">
        <v>4</v>
      </c>
      <c r="I88" s="8" t="n"/>
      <c r="J88" s="9" t="inlineStr">
        <is>
          <t>Not started</t>
        </is>
      </c>
      <c r="K88" s="6">
        <f>IF(J88="Solved independently","Yes",IF(OR(J88="",J88="Not started"),"","No"))</f>
        <v/>
      </c>
      <c r="L88" s="9" t="n"/>
      <c r="M88" s="9" t="n"/>
      <c r="N88" s="9" t="n"/>
      <c r="O88" s="9" t="n"/>
      <c r="P88" s="10" t="n"/>
      <c r="Q88" s="9" t="n"/>
      <c r="R88" s="8" t="n"/>
      <c r="S88" s="11">
        <f>IF(R88="","",R88+IF(T88=0,3,IF(T88=1,7,IF(T88=2,21,45))))</f>
        <v/>
      </c>
      <c r="T88" s="9" t="n"/>
      <c r="U88" s="6">
        <f>IF(B88="","",LOWER(TRIM(B88)))</f>
        <v/>
      </c>
      <c r="V88" s="6">
        <f>IF(AND(U88&lt;&gt;"",OR(J88="Solved independently",J88="Solved with hints",J88="Solved after viewing solution"),COUNTIFS($U$2:U87,U88,$V$2:V87,1)=0),1,0)</f>
        <v/>
      </c>
      <c r="W88" s="6">
        <f>IF(AND(U88&lt;&gt;"",COUNTIF($U$2:$U$300,U88)&gt;1),"DUPLICATE KEY","")</f>
        <v/>
      </c>
    </row>
    <row r="89">
      <c r="A89" s="6" t="n">
        <v>88</v>
      </c>
      <c r="B89" s="6" t="inlineStr">
        <is>
          <t>Word Search</t>
        </is>
      </c>
      <c r="C89" s="6" t="inlineStr">
        <is>
          <t>LeetCode</t>
        </is>
      </c>
      <c r="D89" s="7" t="inlineStr">
        <is>
          <t>Open</t>
        </is>
      </c>
      <c r="E89" s="6" t="inlineStr">
        <is>
          <t>Recursion &amp; backtracking</t>
        </is>
      </c>
      <c r="F89" s="6" t="inlineStr">
        <is>
          <t>Medium</t>
        </is>
      </c>
      <c r="G89" s="6" t="inlineStr">
        <is>
          <t>Recommended</t>
        </is>
      </c>
      <c r="H89" s="6" t="n">
        <v>4</v>
      </c>
      <c r="I89" s="8" t="n"/>
      <c r="J89" s="9" t="inlineStr">
        <is>
          <t>Not started</t>
        </is>
      </c>
      <c r="K89" s="6">
        <f>IF(J89="Solved independently","Yes",IF(OR(J89="",J89="Not started"),"","No"))</f>
        <v/>
      </c>
      <c r="L89" s="9" t="n"/>
      <c r="M89" s="9" t="n"/>
      <c r="N89" s="9" t="n"/>
      <c r="O89" s="9" t="n"/>
      <c r="P89" s="10" t="n"/>
      <c r="Q89" s="9" t="n"/>
      <c r="R89" s="8" t="n"/>
      <c r="S89" s="11">
        <f>IF(R89="","",R89+IF(T89=0,3,IF(T89=1,7,IF(T89=2,21,45))))</f>
        <v/>
      </c>
      <c r="T89" s="9" t="n"/>
      <c r="U89" s="6">
        <f>IF(B89="","",LOWER(TRIM(B89)))</f>
        <v/>
      </c>
      <c r="V89" s="6">
        <f>IF(AND(U89&lt;&gt;"",OR(J89="Solved independently",J89="Solved with hints",J89="Solved after viewing solution"),COUNTIFS($U$2:U88,U89,$V$2:V88,1)=0),1,0)</f>
        <v/>
      </c>
      <c r="W89" s="6">
        <f>IF(AND(U89&lt;&gt;"",COUNTIF($U$2:$U$300,U89)&gt;1),"DUPLICATE KEY","")</f>
        <v/>
      </c>
    </row>
    <row r="90">
      <c r="A90" s="6" t="n">
        <v>89</v>
      </c>
      <c r="B90" s="6" t="inlineStr">
        <is>
          <t>Palindrome Partitioning</t>
        </is>
      </c>
      <c r="C90" s="6" t="inlineStr">
        <is>
          <t>LeetCode</t>
        </is>
      </c>
      <c r="D90" s="7" t="inlineStr">
        <is>
          <t>Open</t>
        </is>
      </c>
      <c r="E90" s="6" t="inlineStr">
        <is>
          <t>Recursion &amp; backtracking</t>
        </is>
      </c>
      <c r="F90" s="6" t="inlineStr">
        <is>
          <t>Medium</t>
        </is>
      </c>
      <c r="G90" s="6" t="inlineStr">
        <is>
          <t>Optional</t>
        </is>
      </c>
      <c r="H90" s="6" t="n">
        <v>4</v>
      </c>
      <c r="I90" s="8" t="n"/>
      <c r="J90" s="9" t="inlineStr">
        <is>
          <t>Not started</t>
        </is>
      </c>
      <c r="K90" s="6">
        <f>IF(J90="Solved independently","Yes",IF(OR(J90="",J90="Not started"),"","No"))</f>
        <v/>
      </c>
      <c r="L90" s="9" t="n"/>
      <c r="M90" s="9" t="n"/>
      <c r="N90" s="9" t="n"/>
      <c r="O90" s="9" t="n"/>
      <c r="P90" s="10" t="n"/>
      <c r="Q90" s="9" t="n"/>
      <c r="R90" s="8" t="n"/>
      <c r="S90" s="11">
        <f>IF(R90="","",R90+IF(T90=0,3,IF(T90=1,7,IF(T90=2,21,45))))</f>
        <v/>
      </c>
      <c r="T90" s="9" t="n"/>
      <c r="U90" s="6">
        <f>IF(B90="","",LOWER(TRIM(B90)))</f>
        <v/>
      </c>
      <c r="V90" s="6">
        <f>IF(AND(U90&lt;&gt;"",OR(J90="Solved independently",J90="Solved with hints",J90="Solved after viewing solution"),COUNTIFS($U$2:U89,U90,$V$2:V89,1)=0),1,0)</f>
        <v/>
      </c>
      <c r="W90" s="6">
        <f>IF(AND(U90&lt;&gt;"",COUNTIF($U$2:$U$300,U90)&gt;1),"DUPLICATE KEY","")</f>
        <v/>
      </c>
    </row>
    <row r="91">
      <c r="A91" s="6" t="n">
        <v>90</v>
      </c>
      <c r="B91" s="6" t="inlineStr">
        <is>
          <t>Reverse Linked List</t>
        </is>
      </c>
      <c r="C91" s="6" t="inlineStr">
        <is>
          <t>LeetCode</t>
        </is>
      </c>
      <c r="D91" s="7" t="inlineStr">
        <is>
          <t>Open</t>
        </is>
      </c>
      <c r="E91" s="6" t="inlineStr">
        <is>
          <t>Linked lists</t>
        </is>
      </c>
      <c r="F91" s="6" t="inlineStr">
        <is>
          <t>Easy</t>
        </is>
      </c>
      <c r="G91" s="6" t="inlineStr">
        <is>
          <t>Essential</t>
        </is>
      </c>
      <c r="H91" s="6" t="n">
        <v>5</v>
      </c>
      <c r="I91" s="8" t="n"/>
      <c r="J91" s="9" t="inlineStr">
        <is>
          <t>Not started</t>
        </is>
      </c>
      <c r="K91" s="6">
        <f>IF(J91="Solved independently","Yes",IF(OR(J91="",J91="Not started"),"","No"))</f>
        <v/>
      </c>
      <c r="L91" s="9" t="n"/>
      <c r="M91" s="9" t="n"/>
      <c r="N91" s="9" t="n"/>
      <c r="O91" s="9" t="n"/>
      <c r="P91" s="10" t="n"/>
      <c r="Q91" s="9" t="n"/>
      <c r="R91" s="8" t="n"/>
      <c r="S91" s="11">
        <f>IF(R91="","",R91+IF(T91=0,3,IF(T91=1,7,IF(T91=2,21,45))))</f>
        <v/>
      </c>
      <c r="T91" s="9" t="n"/>
      <c r="U91" s="6">
        <f>IF(B91="","",LOWER(TRIM(B91)))</f>
        <v/>
      </c>
      <c r="V91" s="6">
        <f>IF(AND(U91&lt;&gt;"",OR(J91="Solved independently",J91="Solved with hints",J91="Solved after viewing solution"),COUNTIFS($U$2:U90,U91,$V$2:V90,1)=0),1,0)</f>
        <v/>
      </c>
      <c r="W91" s="6">
        <f>IF(AND(U91&lt;&gt;"",COUNTIF($U$2:$U$300,U91)&gt;1),"DUPLICATE KEY","")</f>
        <v/>
      </c>
    </row>
    <row r="92">
      <c r="A92" s="6" t="n">
        <v>91</v>
      </c>
      <c r="B92" s="6" t="inlineStr">
        <is>
          <t>Merge Two Sorted Lists</t>
        </is>
      </c>
      <c r="C92" s="6" t="inlineStr">
        <is>
          <t>LeetCode</t>
        </is>
      </c>
      <c r="D92" s="7" t="inlineStr">
        <is>
          <t>Open</t>
        </is>
      </c>
      <c r="E92" s="6" t="inlineStr">
        <is>
          <t>Linked lists</t>
        </is>
      </c>
      <c r="F92" s="6" t="inlineStr">
        <is>
          <t>Easy</t>
        </is>
      </c>
      <c r="G92" s="6" t="inlineStr">
        <is>
          <t>Essential</t>
        </is>
      </c>
      <c r="H92" s="6" t="n">
        <v>5</v>
      </c>
      <c r="I92" s="8" t="n"/>
      <c r="J92" s="9" t="inlineStr">
        <is>
          <t>Not started</t>
        </is>
      </c>
      <c r="K92" s="6">
        <f>IF(J92="Solved independently","Yes",IF(OR(J92="",J92="Not started"),"","No"))</f>
        <v/>
      </c>
      <c r="L92" s="9" t="n"/>
      <c r="M92" s="9" t="n"/>
      <c r="N92" s="9" t="n"/>
      <c r="O92" s="9" t="n"/>
      <c r="P92" s="10" t="n"/>
      <c r="Q92" s="9" t="n"/>
      <c r="R92" s="8" t="n"/>
      <c r="S92" s="11">
        <f>IF(R92="","",R92+IF(T92=0,3,IF(T92=1,7,IF(T92=2,21,45))))</f>
        <v/>
      </c>
      <c r="T92" s="9" t="n"/>
      <c r="U92" s="6">
        <f>IF(B92="","",LOWER(TRIM(B92)))</f>
        <v/>
      </c>
      <c r="V92" s="6">
        <f>IF(AND(U92&lt;&gt;"",OR(J92="Solved independently",J92="Solved with hints",J92="Solved after viewing solution"),COUNTIFS($U$2:U91,U92,$V$2:V91,1)=0),1,0)</f>
        <v/>
      </c>
      <c r="W92" s="6">
        <f>IF(AND(U92&lt;&gt;"",COUNTIF($U$2:$U$300,U92)&gt;1),"DUPLICATE KEY","")</f>
        <v/>
      </c>
    </row>
    <row r="93">
      <c r="A93" s="6" t="n">
        <v>92</v>
      </c>
      <c r="B93" s="6" t="inlineStr">
        <is>
          <t>Linked List Cycle</t>
        </is>
      </c>
      <c r="C93" s="6" t="inlineStr">
        <is>
          <t>LeetCode</t>
        </is>
      </c>
      <c r="D93" s="7" t="inlineStr">
        <is>
          <t>Open</t>
        </is>
      </c>
      <c r="E93" s="6" t="inlineStr">
        <is>
          <t>Linked lists</t>
        </is>
      </c>
      <c r="F93" s="6" t="inlineStr">
        <is>
          <t>Easy</t>
        </is>
      </c>
      <c r="G93" s="6" t="inlineStr">
        <is>
          <t>Essential</t>
        </is>
      </c>
      <c r="H93" s="6" t="n">
        <v>5</v>
      </c>
      <c r="I93" s="8" t="n"/>
      <c r="J93" s="9" t="inlineStr">
        <is>
          <t>Not started</t>
        </is>
      </c>
      <c r="K93" s="6">
        <f>IF(J93="Solved independently","Yes",IF(OR(J93="",J93="Not started"),"","No"))</f>
        <v/>
      </c>
      <c r="L93" s="9" t="n"/>
      <c r="M93" s="9" t="n"/>
      <c r="N93" s="9" t="n"/>
      <c r="O93" s="9" t="n"/>
      <c r="P93" s="10" t="n"/>
      <c r="Q93" s="9" t="n"/>
      <c r="R93" s="8" t="n"/>
      <c r="S93" s="11">
        <f>IF(R93="","",R93+IF(T93=0,3,IF(T93=1,7,IF(T93=2,21,45))))</f>
        <v/>
      </c>
      <c r="T93" s="9" t="n"/>
      <c r="U93" s="6">
        <f>IF(B93="","",LOWER(TRIM(B93)))</f>
        <v/>
      </c>
      <c r="V93" s="6">
        <f>IF(AND(U93&lt;&gt;"",OR(J93="Solved independently",J93="Solved with hints",J93="Solved after viewing solution"),COUNTIFS($U$2:U92,U93,$V$2:V92,1)=0),1,0)</f>
        <v/>
      </c>
      <c r="W93" s="6">
        <f>IF(AND(U93&lt;&gt;"",COUNTIF($U$2:$U$300,U93)&gt;1),"DUPLICATE KEY","")</f>
        <v/>
      </c>
    </row>
    <row r="94">
      <c r="A94" s="6" t="n">
        <v>93</v>
      </c>
      <c r="B94" s="6" t="inlineStr">
        <is>
          <t>Middle of the Linked List</t>
        </is>
      </c>
      <c r="C94" s="6" t="inlineStr">
        <is>
          <t>LeetCode</t>
        </is>
      </c>
      <c r="D94" s="7" t="inlineStr">
        <is>
          <t>Open</t>
        </is>
      </c>
      <c r="E94" s="6" t="inlineStr">
        <is>
          <t>Linked lists</t>
        </is>
      </c>
      <c r="F94" s="6" t="inlineStr">
        <is>
          <t>Easy</t>
        </is>
      </c>
      <c r="G94" s="6" t="inlineStr">
        <is>
          <t>Essential</t>
        </is>
      </c>
      <c r="H94" s="6" t="n">
        <v>5</v>
      </c>
      <c r="I94" s="8" t="n"/>
      <c r="J94" s="9" t="inlineStr">
        <is>
          <t>Not started</t>
        </is>
      </c>
      <c r="K94" s="6">
        <f>IF(J94="Solved independently","Yes",IF(OR(J94="",J94="Not started"),"","No"))</f>
        <v/>
      </c>
      <c r="L94" s="9" t="n"/>
      <c r="M94" s="9" t="n"/>
      <c r="N94" s="9" t="n"/>
      <c r="O94" s="9" t="n"/>
      <c r="P94" s="10" t="n"/>
      <c r="Q94" s="9" t="n"/>
      <c r="R94" s="8" t="n"/>
      <c r="S94" s="11">
        <f>IF(R94="","",R94+IF(T94=0,3,IF(T94=1,7,IF(T94=2,21,45))))</f>
        <v/>
      </c>
      <c r="T94" s="9" t="n"/>
      <c r="U94" s="6">
        <f>IF(B94="","",LOWER(TRIM(B94)))</f>
        <v/>
      </c>
      <c r="V94" s="6">
        <f>IF(AND(U94&lt;&gt;"",OR(J94="Solved independently",J94="Solved with hints",J94="Solved after viewing solution"),COUNTIFS($U$2:U93,U94,$V$2:V93,1)=0),1,0)</f>
        <v/>
      </c>
      <c r="W94" s="6">
        <f>IF(AND(U94&lt;&gt;"",COUNTIF($U$2:$U$300,U94)&gt;1),"DUPLICATE KEY","")</f>
        <v/>
      </c>
    </row>
    <row r="95">
      <c r="A95" s="6" t="n">
        <v>94</v>
      </c>
      <c r="B95" s="6" t="inlineStr">
        <is>
          <t>Remove Linked List Elements</t>
        </is>
      </c>
      <c r="C95" s="6" t="inlineStr">
        <is>
          <t>LeetCode</t>
        </is>
      </c>
      <c r="D95" s="7" t="inlineStr">
        <is>
          <t>Open</t>
        </is>
      </c>
      <c r="E95" s="6" t="inlineStr">
        <is>
          <t>Linked lists</t>
        </is>
      </c>
      <c r="F95" s="6" t="inlineStr">
        <is>
          <t>Easy</t>
        </is>
      </c>
      <c r="G95" s="6" t="inlineStr">
        <is>
          <t>Recommended</t>
        </is>
      </c>
      <c r="H95" s="6" t="n">
        <v>5</v>
      </c>
      <c r="I95" s="8" t="n"/>
      <c r="J95" s="9" t="inlineStr">
        <is>
          <t>Not started</t>
        </is>
      </c>
      <c r="K95" s="6">
        <f>IF(J95="Solved independently","Yes",IF(OR(J95="",J95="Not started"),"","No"))</f>
        <v/>
      </c>
      <c r="L95" s="9" t="n"/>
      <c r="M95" s="9" t="n"/>
      <c r="N95" s="9" t="n"/>
      <c r="O95" s="9" t="n"/>
      <c r="P95" s="10" t="n"/>
      <c r="Q95" s="9" t="n"/>
      <c r="R95" s="8" t="n"/>
      <c r="S95" s="11">
        <f>IF(R95="","",R95+IF(T95=0,3,IF(T95=1,7,IF(T95=2,21,45))))</f>
        <v/>
      </c>
      <c r="T95" s="9" t="n"/>
      <c r="U95" s="6">
        <f>IF(B95="","",LOWER(TRIM(B95)))</f>
        <v/>
      </c>
      <c r="V95" s="6">
        <f>IF(AND(U95&lt;&gt;"",OR(J95="Solved independently",J95="Solved with hints",J95="Solved after viewing solution"),COUNTIFS($U$2:U94,U95,$V$2:V94,1)=0),1,0)</f>
        <v/>
      </c>
      <c r="W95" s="6">
        <f>IF(AND(U95&lt;&gt;"",COUNTIF($U$2:$U$300,U95)&gt;1),"DUPLICATE KEY","")</f>
        <v/>
      </c>
    </row>
    <row r="96">
      <c r="A96" s="6" t="n">
        <v>95</v>
      </c>
      <c r="B96" s="6" t="inlineStr">
        <is>
          <t>Palindrome Linked List</t>
        </is>
      </c>
      <c r="C96" s="6" t="inlineStr">
        <is>
          <t>LeetCode</t>
        </is>
      </c>
      <c r="D96" s="7" t="inlineStr">
        <is>
          <t>Open</t>
        </is>
      </c>
      <c r="E96" s="6" t="inlineStr">
        <is>
          <t>Linked lists</t>
        </is>
      </c>
      <c r="F96" s="6" t="inlineStr">
        <is>
          <t>Easy</t>
        </is>
      </c>
      <c r="G96" s="6" t="inlineStr">
        <is>
          <t>Recommended</t>
        </is>
      </c>
      <c r="H96" s="6" t="n">
        <v>5</v>
      </c>
      <c r="I96" s="8" t="n"/>
      <c r="J96" s="9" t="inlineStr">
        <is>
          <t>Not started</t>
        </is>
      </c>
      <c r="K96" s="6">
        <f>IF(J96="Solved independently","Yes",IF(OR(J96="",J96="Not started"),"","No"))</f>
        <v/>
      </c>
      <c r="L96" s="9" t="n"/>
      <c r="M96" s="9" t="n"/>
      <c r="N96" s="9" t="n"/>
      <c r="O96" s="9" t="n"/>
      <c r="P96" s="10" t="n"/>
      <c r="Q96" s="9" t="n"/>
      <c r="R96" s="8" t="n"/>
      <c r="S96" s="11">
        <f>IF(R96="","",R96+IF(T96=0,3,IF(T96=1,7,IF(T96=2,21,45))))</f>
        <v/>
      </c>
      <c r="T96" s="9" t="n"/>
      <c r="U96" s="6">
        <f>IF(B96="","",LOWER(TRIM(B96)))</f>
        <v/>
      </c>
      <c r="V96" s="6">
        <f>IF(AND(U96&lt;&gt;"",OR(J96="Solved independently",J96="Solved with hints",J96="Solved after viewing solution"),COUNTIFS($U$2:U95,U96,$V$2:V95,1)=0),1,0)</f>
        <v/>
      </c>
      <c r="W96" s="6">
        <f>IF(AND(U96&lt;&gt;"",COUNTIF($U$2:$U$300,U96)&gt;1),"DUPLICATE KEY","")</f>
        <v/>
      </c>
    </row>
    <row r="97">
      <c r="A97" s="6" t="n">
        <v>96</v>
      </c>
      <c r="B97" s="6" t="inlineStr">
        <is>
          <t>Intersection of Two Linked Lists</t>
        </is>
      </c>
      <c r="C97" s="6" t="inlineStr">
        <is>
          <t>LeetCode</t>
        </is>
      </c>
      <c r="D97" s="7" t="inlineStr">
        <is>
          <t>Open</t>
        </is>
      </c>
      <c r="E97" s="6" t="inlineStr">
        <is>
          <t>Linked lists</t>
        </is>
      </c>
      <c r="F97" s="6" t="inlineStr">
        <is>
          <t>Easy</t>
        </is>
      </c>
      <c r="G97" s="6" t="inlineStr">
        <is>
          <t>Recommended</t>
        </is>
      </c>
      <c r="H97" s="6" t="n">
        <v>5</v>
      </c>
      <c r="I97" s="8" t="n"/>
      <c r="J97" s="9" t="inlineStr">
        <is>
          <t>Not started</t>
        </is>
      </c>
      <c r="K97" s="6">
        <f>IF(J97="Solved independently","Yes",IF(OR(J97="",J97="Not started"),"","No"))</f>
        <v/>
      </c>
      <c r="L97" s="9" t="n"/>
      <c r="M97" s="9" t="n"/>
      <c r="N97" s="9" t="n"/>
      <c r="O97" s="9" t="n"/>
      <c r="P97" s="10" t="n"/>
      <c r="Q97" s="9" t="n"/>
      <c r="R97" s="8" t="n"/>
      <c r="S97" s="11">
        <f>IF(R97="","",R97+IF(T97=0,3,IF(T97=1,7,IF(T97=2,21,45))))</f>
        <v/>
      </c>
      <c r="T97" s="9" t="n"/>
      <c r="U97" s="6">
        <f>IF(B97="","",LOWER(TRIM(B97)))</f>
        <v/>
      </c>
      <c r="V97" s="6">
        <f>IF(AND(U97&lt;&gt;"",OR(J97="Solved independently",J97="Solved with hints",J97="Solved after viewing solution"),COUNTIFS($U$2:U96,U97,$V$2:V96,1)=0),1,0)</f>
        <v/>
      </c>
      <c r="W97" s="6">
        <f>IF(AND(U97&lt;&gt;"",COUNTIF($U$2:$U$300,U97)&gt;1),"DUPLICATE KEY","")</f>
        <v/>
      </c>
    </row>
    <row r="98">
      <c r="A98" s="6" t="n">
        <v>97</v>
      </c>
      <c r="B98" s="6" t="inlineStr">
        <is>
          <t>Remove Nth Node From End of List</t>
        </is>
      </c>
      <c r="C98" s="6" t="inlineStr">
        <is>
          <t>LeetCode</t>
        </is>
      </c>
      <c r="D98" s="7" t="inlineStr">
        <is>
          <t>Open</t>
        </is>
      </c>
      <c r="E98" s="6" t="inlineStr">
        <is>
          <t>Linked lists</t>
        </is>
      </c>
      <c r="F98" s="6" t="inlineStr">
        <is>
          <t>Medium</t>
        </is>
      </c>
      <c r="G98" s="6" t="inlineStr">
        <is>
          <t>Essential</t>
        </is>
      </c>
      <c r="H98" s="6" t="n">
        <v>5</v>
      </c>
      <c r="I98" s="8" t="n"/>
      <c r="J98" s="9" t="inlineStr">
        <is>
          <t>Not started</t>
        </is>
      </c>
      <c r="K98" s="6">
        <f>IF(J98="Solved independently","Yes",IF(OR(J98="",J98="Not started"),"","No"))</f>
        <v/>
      </c>
      <c r="L98" s="9" t="n"/>
      <c r="M98" s="9" t="n"/>
      <c r="N98" s="9" t="n"/>
      <c r="O98" s="9" t="n"/>
      <c r="P98" s="10" t="n"/>
      <c r="Q98" s="9" t="n"/>
      <c r="R98" s="8" t="n"/>
      <c r="S98" s="11">
        <f>IF(R98="","",R98+IF(T98=0,3,IF(T98=1,7,IF(T98=2,21,45))))</f>
        <v/>
      </c>
      <c r="T98" s="9" t="n"/>
      <c r="U98" s="6">
        <f>IF(B98="","",LOWER(TRIM(B98)))</f>
        <v/>
      </c>
      <c r="V98" s="6">
        <f>IF(AND(U98&lt;&gt;"",OR(J98="Solved independently",J98="Solved with hints",J98="Solved after viewing solution"),COUNTIFS($U$2:U97,U98,$V$2:V97,1)=0),1,0)</f>
        <v/>
      </c>
      <c r="W98" s="6">
        <f>IF(AND(U98&lt;&gt;"",COUNTIF($U$2:$U$300,U98)&gt;1),"DUPLICATE KEY","")</f>
        <v/>
      </c>
    </row>
    <row r="99">
      <c r="A99" s="6" t="n">
        <v>98</v>
      </c>
      <c r="B99" s="6" t="inlineStr">
        <is>
          <t>Linked List Cycle II</t>
        </is>
      </c>
      <c r="C99" s="6" t="inlineStr">
        <is>
          <t>LeetCode</t>
        </is>
      </c>
      <c r="D99" s="7" t="inlineStr">
        <is>
          <t>Open</t>
        </is>
      </c>
      <c r="E99" s="6" t="inlineStr">
        <is>
          <t>Linked lists</t>
        </is>
      </c>
      <c r="F99" s="6" t="inlineStr">
        <is>
          <t>Medium</t>
        </is>
      </c>
      <c r="G99" s="6" t="inlineStr">
        <is>
          <t>Recommended</t>
        </is>
      </c>
      <c r="H99" s="6" t="n">
        <v>5</v>
      </c>
      <c r="I99" s="8" t="n"/>
      <c r="J99" s="9" t="inlineStr">
        <is>
          <t>Not started</t>
        </is>
      </c>
      <c r="K99" s="6">
        <f>IF(J99="Solved independently","Yes",IF(OR(J99="",J99="Not started"),"","No"))</f>
        <v/>
      </c>
      <c r="L99" s="9" t="n"/>
      <c r="M99" s="9" t="n"/>
      <c r="N99" s="9" t="n"/>
      <c r="O99" s="9" t="n"/>
      <c r="P99" s="10" t="n"/>
      <c r="Q99" s="9" t="n"/>
      <c r="R99" s="8" t="n"/>
      <c r="S99" s="11">
        <f>IF(R99="","",R99+IF(T99=0,3,IF(T99=1,7,IF(T99=2,21,45))))</f>
        <v/>
      </c>
      <c r="T99" s="9" t="n"/>
      <c r="U99" s="6">
        <f>IF(B99="","",LOWER(TRIM(B99)))</f>
        <v/>
      </c>
      <c r="V99" s="6">
        <f>IF(AND(U99&lt;&gt;"",OR(J99="Solved independently",J99="Solved with hints",J99="Solved after viewing solution"),COUNTIFS($U$2:U98,U99,$V$2:V98,1)=0),1,0)</f>
        <v/>
      </c>
      <c r="W99" s="6">
        <f>IF(AND(U99&lt;&gt;"",COUNTIF($U$2:$U$300,U99)&gt;1),"DUPLICATE KEY","")</f>
        <v/>
      </c>
    </row>
    <row r="100">
      <c r="A100" s="6" t="n">
        <v>99</v>
      </c>
      <c r="B100" s="6" t="inlineStr">
        <is>
          <t>Add Two Numbers</t>
        </is>
      </c>
      <c r="C100" s="6" t="inlineStr">
        <is>
          <t>LeetCode</t>
        </is>
      </c>
      <c r="D100" s="7" t="inlineStr">
        <is>
          <t>Open</t>
        </is>
      </c>
      <c r="E100" s="6" t="inlineStr">
        <is>
          <t>Linked lists</t>
        </is>
      </c>
      <c r="F100" s="6" t="inlineStr">
        <is>
          <t>Medium</t>
        </is>
      </c>
      <c r="G100" s="6" t="inlineStr">
        <is>
          <t>Essential</t>
        </is>
      </c>
      <c r="H100" s="6" t="n">
        <v>5</v>
      </c>
      <c r="I100" s="8" t="n"/>
      <c r="J100" s="9" t="inlineStr">
        <is>
          <t>Not started</t>
        </is>
      </c>
      <c r="K100" s="6">
        <f>IF(J100="Solved independently","Yes",IF(OR(J100="",J100="Not started"),"","No"))</f>
        <v/>
      </c>
      <c r="L100" s="9" t="n"/>
      <c r="M100" s="9" t="n"/>
      <c r="N100" s="9" t="n"/>
      <c r="O100" s="9" t="n"/>
      <c r="P100" s="10" t="n"/>
      <c r="Q100" s="9" t="n"/>
      <c r="R100" s="8" t="n"/>
      <c r="S100" s="11">
        <f>IF(R100="","",R100+IF(T100=0,3,IF(T100=1,7,IF(T100=2,21,45))))</f>
        <v/>
      </c>
      <c r="T100" s="9" t="n"/>
      <c r="U100" s="6">
        <f>IF(B100="","",LOWER(TRIM(B100)))</f>
        <v/>
      </c>
      <c r="V100" s="6">
        <f>IF(AND(U100&lt;&gt;"",OR(J100="Solved independently",J100="Solved with hints",J100="Solved after viewing solution"),COUNTIFS($U$2:U99,U100,$V$2:V99,1)=0),1,0)</f>
        <v/>
      </c>
      <c r="W100" s="6">
        <f>IF(AND(U100&lt;&gt;"",COUNTIF($U$2:$U$300,U100)&gt;1),"DUPLICATE KEY","")</f>
        <v/>
      </c>
    </row>
    <row r="101">
      <c r="A101" s="6" t="n">
        <v>100</v>
      </c>
      <c r="B101" s="6" t="inlineStr">
        <is>
          <t>Reorder List</t>
        </is>
      </c>
      <c r="C101" s="6" t="inlineStr">
        <is>
          <t>LeetCode</t>
        </is>
      </c>
      <c r="D101" s="7" t="inlineStr">
        <is>
          <t>Open</t>
        </is>
      </c>
      <c r="E101" s="6" t="inlineStr">
        <is>
          <t>Linked lists</t>
        </is>
      </c>
      <c r="F101" s="6" t="inlineStr">
        <is>
          <t>Medium</t>
        </is>
      </c>
      <c r="G101" s="6" t="inlineStr">
        <is>
          <t>Recommended</t>
        </is>
      </c>
      <c r="H101" s="6" t="n">
        <v>5</v>
      </c>
      <c r="I101" s="8" t="n"/>
      <c r="J101" s="9" t="inlineStr">
        <is>
          <t>Not started</t>
        </is>
      </c>
      <c r="K101" s="6">
        <f>IF(J101="Solved independently","Yes",IF(OR(J101="",J101="Not started"),"","No"))</f>
        <v/>
      </c>
      <c r="L101" s="9" t="n"/>
      <c r="M101" s="9" t="n"/>
      <c r="N101" s="9" t="n"/>
      <c r="O101" s="9" t="n"/>
      <c r="P101" s="10" t="n"/>
      <c r="Q101" s="9" t="n"/>
      <c r="R101" s="8" t="n"/>
      <c r="S101" s="11">
        <f>IF(R101="","",R101+IF(T101=0,3,IF(T101=1,7,IF(T101=2,21,45))))</f>
        <v/>
      </c>
      <c r="T101" s="9" t="n"/>
      <c r="U101" s="6">
        <f>IF(B101="","",LOWER(TRIM(B101)))</f>
        <v/>
      </c>
      <c r="V101" s="6">
        <f>IF(AND(U101&lt;&gt;"",OR(J101="Solved independently",J101="Solved with hints",J101="Solved after viewing solution"),COUNTIFS($U$2:U100,U101,$V$2:V100,1)=0),1,0)</f>
        <v/>
      </c>
      <c r="W101" s="6">
        <f>IF(AND(U101&lt;&gt;"",COUNTIF($U$2:$U$300,U101)&gt;1),"DUPLICATE KEY","")</f>
        <v/>
      </c>
    </row>
    <row r="102">
      <c r="A102" s="6" t="n">
        <v>101</v>
      </c>
      <c r="B102" s="6" t="inlineStr">
        <is>
          <t>LRU Cache</t>
        </is>
      </c>
      <c r="C102" s="6" t="inlineStr">
        <is>
          <t>LeetCode</t>
        </is>
      </c>
      <c r="D102" s="7" t="inlineStr">
        <is>
          <t>Open</t>
        </is>
      </c>
      <c r="E102" s="6" t="inlineStr">
        <is>
          <t>Linked lists</t>
        </is>
      </c>
      <c r="F102" s="6" t="inlineStr">
        <is>
          <t>Medium</t>
        </is>
      </c>
      <c r="G102" s="6" t="inlineStr">
        <is>
          <t>Essential</t>
        </is>
      </c>
      <c r="H102" s="6" t="n">
        <v>5</v>
      </c>
      <c r="I102" s="8" t="n"/>
      <c r="J102" s="9" t="inlineStr">
        <is>
          <t>Not started</t>
        </is>
      </c>
      <c r="K102" s="6">
        <f>IF(J102="Solved independently","Yes",IF(OR(J102="",J102="Not started"),"","No"))</f>
        <v/>
      </c>
      <c r="L102" s="9" t="n"/>
      <c r="M102" s="9" t="n"/>
      <c r="N102" s="9" t="n"/>
      <c r="O102" s="9" t="n"/>
      <c r="P102" s="10" t="n"/>
      <c r="Q102" s="9" t="n"/>
      <c r="R102" s="8" t="n"/>
      <c r="S102" s="11">
        <f>IF(R102="","",R102+IF(T102=0,3,IF(T102=1,7,IF(T102=2,21,45))))</f>
        <v/>
      </c>
      <c r="T102" s="9" t="n"/>
      <c r="U102" s="6">
        <f>IF(B102="","",LOWER(TRIM(B102)))</f>
        <v/>
      </c>
      <c r="V102" s="6">
        <f>IF(AND(U102&lt;&gt;"",OR(J102="Solved independently",J102="Solved with hints",J102="Solved after viewing solution"),COUNTIFS($U$2:U101,U102,$V$2:V101,1)=0),1,0)</f>
        <v/>
      </c>
      <c r="W102" s="6">
        <f>IF(AND(U102&lt;&gt;"",COUNTIF($U$2:$U$300,U102)&gt;1),"DUPLICATE KEY","")</f>
        <v/>
      </c>
    </row>
    <row r="103">
      <c r="A103" s="6" t="n">
        <v>102</v>
      </c>
      <c r="B103" s="6" t="inlineStr">
        <is>
          <t>Merge two sorted linked lists</t>
        </is>
      </c>
      <c r="C103" s="6" t="inlineStr">
        <is>
          <t>HackerRank</t>
        </is>
      </c>
      <c r="D103" s="7" t="inlineStr">
        <is>
          <t>Open</t>
        </is>
      </c>
      <c r="E103" s="6" t="inlineStr">
        <is>
          <t>Linked lists</t>
        </is>
      </c>
      <c r="F103" s="6" t="inlineStr">
        <is>
          <t>Easy</t>
        </is>
      </c>
      <c r="G103" s="6" t="inlineStr">
        <is>
          <t>Optional</t>
        </is>
      </c>
      <c r="H103" s="6" t="n">
        <v>5</v>
      </c>
      <c r="I103" s="8" t="n"/>
      <c r="J103" s="9" t="inlineStr">
        <is>
          <t>Not started</t>
        </is>
      </c>
      <c r="K103" s="6">
        <f>IF(J103="Solved independently","Yes",IF(OR(J103="",J103="Not started"),"","No"))</f>
        <v/>
      </c>
      <c r="L103" s="9" t="n"/>
      <c r="M103" s="9" t="n"/>
      <c r="N103" s="9" t="n"/>
      <c r="O103" s="9" t="n"/>
      <c r="P103" s="10" t="n"/>
      <c r="Q103" s="9" t="n"/>
      <c r="R103" s="8" t="n"/>
      <c r="S103" s="11">
        <f>IF(R103="","",R103+IF(T103=0,3,IF(T103=1,7,IF(T103=2,21,45))))</f>
        <v/>
      </c>
      <c r="T103" s="9" t="n"/>
      <c r="U103" s="6">
        <f>IF(B103="","",LOWER(TRIM(B103)))</f>
        <v/>
      </c>
      <c r="V103" s="6">
        <f>IF(AND(U103&lt;&gt;"",OR(J103="Solved independently",J103="Solved with hints",J103="Solved after viewing solution"),COUNTIFS($U$2:U102,U103,$V$2:V102,1)=0),1,0)</f>
        <v/>
      </c>
      <c r="W103" s="6">
        <f>IF(AND(U103&lt;&gt;"",COUNTIF($U$2:$U$300,U103)&gt;1),"DUPLICATE KEY","")</f>
        <v/>
      </c>
    </row>
    <row r="104">
      <c r="A104" s="6" t="n">
        <v>103</v>
      </c>
      <c r="B104" s="6" t="inlineStr">
        <is>
          <t>Valid Parentheses</t>
        </is>
      </c>
      <c r="C104" s="6" t="inlineStr">
        <is>
          <t>LeetCode</t>
        </is>
      </c>
      <c r="D104" s="7" t="inlineStr">
        <is>
          <t>Open</t>
        </is>
      </c>
      <c r="E104" s="6" t="inlineStr">
        <is>
          <t>Stacks &amp; queues</t>
        </is>
      </c>
      <c r="F104" s="6" t="inlineStr">
        <is>
          <t>Easy</t>
        </is>
      </c>
      <c r="G104" s="6" t="inlineStr">
        <is>
          <t>Essential</t>
        </is>
      </c>
      <c r="H104" s="6" t="n">
        <v>5</v>
      </c>
      <c r="I104" s="8" t="n"/>
      <c r="J104" s="9" t="inlineStr">
        <is>
          <t>Not started</t>
        </is>
      </c>
      <c r="K104" s="6">
        <f>IF(J104="Solved independently","Yes",IF(OR(J104="",J104="Not started"),"","No"))</f>
        <v/>
      </c>
      <c r="L104" s="9" t="n"/>
      <c r="M104" s="9" t="n"/>
      <c r="N104" s="9" t="n"/>
      <c r="O104" s="9" t="n"/>
      <c r="P104" s="10" t="n"/>
      <c r="Q104" s="9" t="n"/>
      <c r="R104" s="8" t="n"/>
      <c r="S104" s="11">
        <f>IF(R104="","",R104+IF(T104=0,3,IF(T104=1,7,IF(T104=2,21,45))))</f>
        <v/>
      </c>
      <c r="T104" s="9" t="n"/>
      <c r="U104" s="6">
        <f>IF(B104="","",LOWER(TRIM(B104)))</f>
        <v/>
      </c>
      <c r="V104" s="6">
        <f>IF(AND(U104&lt;&gt;"",OR(J104="Solved independently",J104="Solved with hints",J104="Solved after viewing solution"),COUNTIFS($U$2:U103,U104,$V$2:V103,1)=0),1,0)</f>
        <v/>
      </c>
      <c r="W104" s="6">
        <f>IF(AND(U104&lt;&gt;"",COUNTIF($U$2:$U$300,U104)&gt;1),"DUPLICATE KEY","")</f>
        <v/>
      </c>
    </row>
    <row r="105">
      <c r="A105" s="6" t="n">
        <v>104</v>
      </c>
      <c r="B105" s="6" t="inlineStr">
        <is>
          <t>Min Stack</t>
        </is>
      </c>
      <c r="C105" s="6" t="inlineStr">
        <is>
          <t>LeetCode</t>
        </is>
      </c>
      <c r="D105" s="7" t="inlineStr">
        <is>
          <t>Open</t>
        </is>
      </c>
      <c r="E105" s="6" t="inlineStr">
        <is>
          <t>Stacks &amp; queues</t>
        </is>
      </c>
      <c r="F105" s="6" t="inlineStr">
        <is>
          <t>Medium</t>
        </is>
      </c>
      <c r="G105" s="6" t="inlineStr">
        <is>
          <t>Essential</t>
        </is>
      </c>
      <c r="H105" s="6" t="n">
        <v>5</v>
      </c>
      <c r="I105" s="8" t="n"/>
      <c r="J105" s="9" t="inlineStr">
        <is>
          <t>Not started</t>
        </is>
      </c>
      <c r="K105" s="6">
        <f>IF(J105="Solved independently","Yes",IF(OR(J105="",J105="Not started"),"","No"))</f>
        <v/>
      </c>
      <c r="L105" s="9" t="n"/>
      <c r="M105" s="9" t="n"/>
      <c r="N105" s="9" t="n"/>
      <c r="O105" s="9" t="n"/>
      <c r="P105" s="10" t="n"/>
      <c r="Q105" s="9" t="n"/>
      <c r="R105" s="8" t="n"/>
      <c r="S105" s="11">
        <f>IF(R105="","",R105+IF(T105=0,3,IF(T105=1,7,IF(T105=2,21,45))))</f>
        <v/>
      </c>
      <c r="T105" s="9" t="n"/>
      <c r="U105" s="6">
        <f>IF(B105="","",LOWER(TRIM(B105)))</f>
        <v/>
      </c>
      <c r="V105" s="6">
        <f>IF(AND(U105&lt;&gt;"",OR(J105="Solved independently",J105="Solved with hints",J105="Solved after viewing solution"),COUNTIFS($U$2:U104,U105,$V$2:V104,1)=0),1,0)</f>
        <v/>
      </c>
      <c r="W105" s="6">
        <f>IF(AND(U105&lt;&gt;"",COUNTIF($U$2:$U$300,U105)&gt;1),"DUPLICATE KEY","")</f>
        <v/>
      </c>
    </row>
    <row r="106">
      <c r="A106" s="6" t="n">
        <v>105</v>
      </c>
      <c r="B106" s="6" t="inlineStr">
        <is>
          <t>Implement Queue using Stacks</t>
        </is>
      </c>
      <c r="C106" s="6" t="inlineStr">
        <is>
          <t>LeetCode</t>
        </is>
      </c>
      <c r="D106" s="7" t="inlineStr">
        <is>
          <t>Open</t>
        </is>
      </c>
      <c r="E106" s="6" t="inlineStr">
        <is>
          <t>Stacks &amp; queues</t>
        </is>
      </c>
      <c r="F106" s="6" t="inlineStr">
        <is>
          <t>Easy</t>
        </is>
      </c>
      <c r="G106" s="6" t="inlineStr">
        <is>
          <t>Recommended</t>
        </is>
      </c>
      <c r="H106" s="6" t="n">
        <v>5</v>
      </c>
      <c r="I106" s="8" t="n"/>
      <c r="J106" s="9" t="inlineStr">
        <is>
          <t>Not started</t>
        </is>
      </c>
      <c r="K106" s="6">
        <f>IF(J106="Solved independently","Yes",IF(OR(J106="",J106="Not started"),"","No"))</f>
        <v/>
      </c>
      <c r="L106" s="9" t="n"/>
      <c r="M106" s="9" t="n"/>
      <c r="N106" s="9" t="n"/>
      <c r="O106" s="9" t="n"/>
      <c r="P106" s="10" t="n"/>
      <c r="Q106" s="9" t="n"/>
      <c r="R106" s="8" t="n"/>
      <c r="S106" s="11">
        <f>IF(R106="","",R106+IF(T106=0,3,IF(T106=1,7,IF(T106=2,21,45))))</f>
        <v/>
      </c>
      <c r="T106" s="9" t="n"/>
      <c r="U106" s="6">
        <f>IF(B106="","",LOWER(TRIM(B106)))</f>
        <v/>
      </c>
      <c r="V106" s="6">
        <f>IF(AND(U106&lt;&gt;"",OR(J106="Solved independently",J106="Solved with hints",J106="Solved after viewing solution"),COUNTIFS($U$2:U105,U106,$V$2:V105,1)=0),1,0)</f>
        <v/>
      </c>
      <c r="W106" s="6">
        <f>IF(AND(U106&lt;&gt;"",COUNTIF($U$2:$U$300,U106)&gt;1),"DUPLICATE KEY","")</f>
        <v/>
      </c>
    </row>
    <row r="107">
      <c r="A107" s="6" t="n">
        <v>106</v>
      </c>
      <c r="B107" s="6" t="inlineStr">
        <is>
          <t>Next Greater Element I</t>
        </is>
      </c>
      <c r="C107" s="6" t="inlineStr">
        <is>
          <t>LeetCode</t>
        </is>
      </c>
      <c r="D107" s="7" t="inlineStr">
        <is>
          <t>Open</t>
        </is>
      </c>
      <c r="E107" s="6" t="inlineStr">
        <is>
          <t>Stacks &amp; queues</t>
        </is>
      </c>
      <c r="F107" s="6" t="inlineStr">
        <is>
          <t>Easy</t>
        </is>
      </c>
      <c r="G107" s="6" t="inlineStr">
        <is>
          <t>Recommended</t>
        </is>
      </c>
      <c r="H107" s="6" t="n">
        <v>5</v>
      </c>
      <c r="I107" s="8" t="n"/>
      <c r="J107" s="9" t="inlineStr">
        <is>
          <t>Not started</t>
        </is>
      </c>
      <c r="K107" s="6">
        <f>IF(J107="Solved independently","Yes",IF(OR(J107="",J107="Not started"),"","No"))</f>
        <v/>
      </c>
      <c r="L107" s="9" t="n"/>
      <c r="M107" s="9" t="n"/>
      <c r="N107" s="9" t="n"/>
      <c r="O107" s="9" t="n"/>
      <c r="P107" s="10" t="n"/>
      <c r="Q107" s="9" t="n"/>
      <c r="R107" s="8" t="n"/>
      <c r="S107" s="11">
        <f>IF(R107="","",R107+IF(T107=0,3,IF(T107=1,7,IF(T107=2,21,45))))</f>
        <v/>
      </c>
      <c r="T107" s="9" t="n"/>
      <c r="U107" s="6">
        <f>IF(B107="","",LOWER(TRIM(B107)))</f>
        <v/>
      </c>
      <c r="V107" s="6">
        <f>IF(AND(U107&lt;&gt;"",OR(J107="Solved independently",J107="Solved with hints",J107="Solved after viewing solution"),COUNTIFS($U$2:U106,U107,$V$2:V106,1)=0),1,0)</f>
        <v/>
      </c>
      <c r="W107" s="6">
        <f>IF(AND(U107&lt;&gt;"",COUNTIF($U$2:$U$300,U107)&gt;1),"DUPLICATE KEY","")</f>
        <v/>
      </c>
    </row>
    <row r="108">
      <c r="A108" s="6" t="n">
        <v>107</v>
      </c>
      <c r="B108" s="6" t="inlineStr">
        <is>
          <t>Evaluate Reverse Polish Notation</t>
        </is>
      </c>
      <c r="C108" s="6" t="inlineStr">
        <is>
          <t>LeetCode</t>
        </is>
      </c>
      <c r="D108" s="7" t="inlineStr">
        <is>
          <t>Open</t>
        </is>
      </c>
      <c r="E108" s="6" t="inlineStr">
        <is>
          <t>Stacks &amp; queues</t>
        </is>
      </c>
      <c r="F108" s="6" t="inlineStr">
        <is>
          <t>Medium</t>
        </is>
      </c>
      <c r="G108" s="6" t="inlineStr">
        <is>
          <t>Recommended</t>
        </is>
      </c>
      <c r="H108" s="6" t="n">
        <v>5</v>
      </c>
      <c r="I108" s="8" t="n"/>
      <c r="J108" s="9" t="inlineStr">
        <is>
          <t>Not started</t>
        </is>
      </c>
      <c r="K108" s="6">
        <f>IF(J108="Solved independently","Yes",IF(OR(J108="",J108="Not started"),"","No"))</f>
        <v/>
      </c>
      <c r="L108" s="9" t="n"/>
      <c r="M108" s="9" t="n"/>
      <c r="N108" s="9" t="n"/>
      <c r="O108" s="9" t="n"/>
      <c r="P108" s="10" t="n"/>
      <c r="Q108" s="9" t="n"/>
      <c r="R108" s="8" t="n"/>
      <c r="S108" s="11">
        <f>IF(R108="","",R108+IF(T108=0,3,IF(T108=1,7,IF(T108=2,21,45))))</f>
        <v/>
      </c>
      <c r="T108" s="9" t="n"/>
      <c r="U108" s="6">
        <f>IF(B108="","",LOWER(TRIM(B108)))</f>
        <v/>
      </c>
      <c r="V108" s="6">
        <f>IF(AND(U108&lt;&gt;"",OR(J108="Solved independently",J108="Solved with hints",J108="Solved after viewing solution"),COUNTIFS($U$2:U107,U108,$V$2:V107,1)=0),1,0)</f>
        <v/>
      </c>
      <c r="W108" s="6">
        <f>IF(AND(U108&lt;&gt;"",COUNTIF($U$2:$U$300,U108)&gt;1),"DUPLICATE KEY","")</f>
        <v/>
      </c>
    </row>
    <row r="109">
      <c r="A109" s="6" t="n">
        <v>108</v>
      </c>
      <c r="B109" s="6" t="inlineStr">
        <is>
          <t>Daily Temperatures</t>
        </is>
      </c>
      <c r="C109" s="6" t="inlineStr">
        <is>
          <t>LeetCode</t>
        </is>
      </c>
      <c r="D109" s="7" t="inlineStr">
        <is>
          <t>Open</t>
        </is>
      </c>
      <c r="E109" s="6" t="inlineStr">
        <is>
          <t>Stacks &amp; queues</t>
        </is>
      </c>
      <c r="F109" s="6" t="inlineStr">
        <is>
          <t>Medium</t>
        </is>
      </c>
      <c r="G109" s="6" t="inlineStr">
        <is>
          <t>Essential</t>
        </is>
      </c>
      <c r="H109" s="6" t="n">
        <v>5</v>
      </c>
      <c r="I109" s="8" t="n"/>
      <c r="J109" s="9" t="inlineStr">
        <is>
          <t>Not started</t>
        </is>
      </c>
      <c r="K109" s="6">
        <f>IF(J109="Solved independently","Yes",IF(OR(J109="",J109="Not started"),"","No"))</f>
        <v/>
      </c>
      <c r="L109" s="9" t="n"/>
      <c r="M109" s="9" t="n"/>
      <c r="N109" s="9" t="n"/>
      <c r="O109" s="9" t="n"/>
      <c r="P109" s="10" t="n"/>
      <c r="Q109" s="9" t="n"/>
      <c r="R109" s="8" t="n"/>
      <c r="S109" s="11">
        <f>IF(R109="","",R109+IF(T109=0,3,IF(T109=1,7,IF(T109=2,21,45))))</f>
        <v/>
      </c>
      <c r="T109" s="9" t="n"/>
      <c r="U109" s="6">
        <f>IF(B109="","",LOWER(TRIM(B109)))</f>
        <v/>
      </c>
      <c r="V109" s="6">
        <f>IF(AND(U109&lt;&gt;"",OR(J109="Solved independently",J109="Solved with hints",J109="Solved after viewing solution"),COUNTIFS($U$2:U108,U109,$V$2:V108,1)=0),1,0)</f>
        <v/>
      </c>
      <c r="W109" s="6">
        <f>IF(AND(U109&lt;&gt;"",COUNTIF($U$2:$U$300,U109)&gt;1),"DUPLICATE KEY","")</f>
        <v/>
      </c>
    </row>
    <row r="110">
      <c r="A110" s="6" t="n">
        <v>109</v>
      </c>
      <c r="B110" s="6" t="inlineStr">
        <is>
          <t>Largest Rectangle in Histogram</t>
        </is>
      </c>
      <c r="C110" s="6" t="inlineStr">
        <is>
          <t>LeetCode</t>
        </is>
      </c>
      <c r="D110" s="7" t="inlineStr">
        <is>
          <t>Open</t>
        </is>
      </c>
      <c r="E110" s="6" t="inlineStr">
        <is>
          <t>Stacks &amp; queues</t>
        </is>
      </c>
      <c r="F110" s="6" t="inlineStr">
        <is>
          <t>Hard</t>
        </is>
      </c>
      <c r="G110" s="6" t="inlineStr">
        <is>
          <t>Optional</t>
        </is>
      </c>
      <c r="H110" s="6" t="n">
        <v>5</v>
      </c>
      <c r="I110" s="8" t="n"/>
      <c r="J110" s="9" t="inlineStr">
        <is>
          <t>Not started</t>
        </is>
      </c>
      <c r="K110" s="6">
        <f>IF(J110="Solved independently","Yes",IF(OR(J110="",J110="Not started"),"","No"))</f>
        <v/>
      </c>
      <c r="L110" s="9" t="n"/>
      <c r="M110" s="9" t="n"/>
      <c r="N110" s="9" t="n"/>
      <c r="O110" s="9" t="n"/>
      <c r="P110" s="10" t="n"/>
      <c r="Q110" s="9" t="n"/>
      <c r="R110" s="8" t="n"/>
      <c r="S110" s="11">
        <f>IF(R110="","",R110+IF(T110=0,3,IF(T110=1,7,IF(T110=2,21,45))))</f>
        <v/>
      </c>
      <c r="T110" s="9" t="n"/>
      <c r="U110" s="6">
        <f>IF(B110="","",LOWER(TRIM(B110)))</f>
        <v/>
      </c>
      <c r="V110" s="6">
        <f>IF(AND(U110&lt;&gt;"",OR(J110="Solved independently",J110="Solved with hints",J110="Solved after viewing solution"),COUNTIFS($U$2:U109,U110,$V$2:V109,1)=0),1,0)</f>
        <v/>
      </c>
      <c r="W110" s="6">
        <f>IF(AND(U110&lt;&gt;"",COUNTIF($U$2:$U$300,U110)&gt;1),"DUPLICATE KEY","")</f>
        <v/>
      </c>
    </row>
    <row r="111">
      <c r="A111" s="6" t="n">
        <v>110</v>
      </c>
      <c r="B111" s="6" t="inlineStr">
        <is>
          <t>Balanced Brackets</t>
        </is>
      </c>
      <c r="C111" s="6" t="inlineStr">
        <is>
          <t>HackerRank</t>
        </is>
      </c>
      <c r="D111" s="7" t="inlineStr">
        <is>
          <t>Open</t>
        </is>
      </c>
      <c r="E111" s="6" t="inlineStr">
        <is>
          <t>Stacks &amp; queues</t>
        </is>
      </c>
      <c r="F111" s="6" t="inlineStr">
        <is>
          <t>Medium</t>
        </is>
      </c>
      <c r="G111" s="6" t="inlineStr">
        <is>
          <t>Optional</t>
        </is>
      </c>
      <c r="H111" s="6" t="n">
        <v>5</v>
      </c>
      <c r="I111" s="8" t="n"/>
      <c r="J111" s="9" t="inlineStr">
        <is>
          <t>Not started</t>
        </is>
      </c>
      <c r="K111" s="6">
        <f>IF(J111="Solved independently","Yes",IF(OR(J111="",J111="Not started"),"","No"))</f>
        <v/>
      </c>
      <c r="L111" s="9" t="n"/>
      <c r="M111" s="9" t="n"/>
      <c r="N111" s="9" t="n"/>
      <c r="O111" s="9" t="n"/>
      <c r="P111" s="10" t="n"/>
      <c r="Q111" s="9" t="n"/>
      <c r="R111" s="8" t="n"/>
      <c r="S111" s="11">
        <f>IF(R111="","",R111+IF(T111=0,3,IF(T111=1,7,IF(T111=2,21,45))))</f>
        <v/>
      </c>
      <c r="T111" s="9" t="n"/>
      <c r="U111" s="6">
        <f>IF(B111="","",LOWER(TRIM(B111)))</f>
        <v/>
      </c>
      <c r="V111" s="6">
        <f>IF(AND(U111&lt;&gt;"",OR(J111="Solved independently",J111="Solved with hints",J111="Solved after viewing solution"),COUNTIFS($U$2:U110,U111,$V$2:V110,1)=0),1,0)</f>
        <v/>
      </c>
      <c r="W111" s="6">
        <f>IF(AND(U111&lt;&gt;"",COUNTIF($U$2:$U$300,U111)&gt;1),"DUPLICATE KEY","")</f>
        <v/>
      </c>
    </row>
    <row r="112">
      <c r="A112" s="6" t="n">
        <v>111</v>
      </c>
      <c r="B112" s="6" t="inlineStr">
        <is>
          <t>Queues: A Tale of Two Stacks</t>
        </is>
      </c>
      <c r="C112" s="6" t="inlineStr">
        <is>
          <t>HackerRank</t>
        </is>
      </c>
      <c r="D112" s="7" t="inlineStr">
        <is>
          <t>Open</t>
        </is>
      </c>
      <c r="E112" s="6" t="inlineStr">
        <is>
          <t>Stacks &amp; queues</t>
        </is>
      </c>
      <c r="F112" s="6" t="inlineStr">
        <is>
          <t>Hard</t>
        </is>
      </c>
      <c r="G112" s="6" t="inlineStr">
        <is>
          <t>Optional</t>
        </is>
      </c>
      <c r="H112" s="6" t="n">
        <v>5</v>
      </c>
      <c r="I112" s="8" t="n"/>
      <c r="J112" s="9" t="inlineStr">
        <is>
          <t>Not started</t>
        </is>
      </c>
      <c r="K112" s="6">
        <f>IF(J112="Solved independently","Yes",IF(OR(J112="",J112="Not started"),"","No"))</f>
        <v/>
      </c>
      <c r="L112" s="9" t="n"/>
      <c r="M112" s="9" t="n"/>
      <c r="N112" s="9" t="n"/>
      <c r="O112" s="9" t="n"/>
      <c r="P112" s="10" t="n"/>
      <c r="Q112" s="9" t="n"/>
      <c r="R112" s="8" t="n"/>
      <c r="S112" s="11">
        <f>IF(R112="","",R112+IF(T112=0,3,IF(T112=1,7,IF(T112=2,21,45))))</f>
        <v/>
      </c>
      <c r="T112" s="9" t="n"/>
      <c r="U112" s="6">
        <f>IF(B112="","",LOWER(TRIM(B112)))</f>
        <v/>
      </c>
      <c r="V112" s="6">
        <f>IF(AND(U112&lt;&gt;"",OR(J112="Solved independently",J112="Solved with hints",J112="Solved after viewing solution"),COUNTIFS($U$2:U111,U112,$V$2:V111,1)=0),1,0)</f>
        <v/>
      </c>
      <c r="W112" s="6">
        <f>IF(AND(U112&lt;&gt;"",COUNTIF($U$2:$U$300,U112)&gt;1),"DUPLICATE KEY","")</f>
        <v/>
      </c>
    </row>
    <row r="113">
      <c r="A113" s="6" t="n">
        <v>112</v>
      </c>
      <c r="B113" s="6" t="inlineStr">
        <is>
          <t>Maximum Depth of Binary Tree</t>
        </is>
      </c>
      <c r="C113" s="6" t="inlineStr">
        <is>
          <t>LeetCode</t>
        </is>
      </c>
      <c r="D113" s="7" t="inlineStr">
        <is>
          <t>Open</t>
        </is>
      </c>
      <c r="E113" s="6" t="inlineStr">
        <is>
          <t>Trees &amp; binary search trees</t>
        </is>
      </c>
      <c r="F113" s="6" t="inlineStr">
        <is>
          <t>Easy</t>
        </is>
      </c>
      <c r="G113" s="6" t="inlineStr">
        <is>
          <t>Essential</t>
        </is>
      </c>
      <c r="H113" s="6" t="n">
        <v>6</v>
      </c>
      <c r="I113" s="8" t="n"/>
      <c r="J113" s="9" t="inlineStr">
        <is>
          <t>Not started</t>
        </is>
      </c>
      <c r="K113" s="6">
        <f>IF(J113="Solved independently","Yes",IF(OR(J113="",J113="Not started"),"","No"))</f>
        <v/>
      </c>
      <c r="L113" s="9" t="n"/>
      <c r="M113" s="9" t="n"/>
      <c r="N113" s="9" t="n"/>
      <c r="O113" s="9" t="n"/>
      <c r="P113" s="10" t="n"/>
      <c r="Q113" s="9" t="n"/>
      <c r="R113" s="8" t="n"/>
      <c r="S113" s="11">
        <f>IF(R113="","",R113+IF(T113=0,3,IF(T113=1,7,IF(T113=2,21,45))))</f>
        <v/>
      </c>
      <c r="T113" s="9" t="n"/>
      <c r="U113" s="6">
        <f>IF(B113="","",LOWER(TRIM(B113)))</f>
        <v/>
      </c>
      <c r="V113" s="6">
        <f>IF(AND(U113&lt;&gt;"",OR(J113="Solved independently",J113="Solved with hints",J113="Solved after viewing solution"),COUNTIFS($U$2:U112,U113,$V$2:V112,1)=0),1,0)</f>
        <v/>
      </c>
      <c r="W113" s="6">
        <f>IF(AND(U113&lt;&gt;"",COUNTIF($U$2:$U$300,U113)&gt;1),"DUPLICATE KEY","")</f>
        <v/>
      </c>
    </row>
    <row r="114">
      <c r="A114" s="6" t="n">
        <v>113</v>
      </c>
      <c r="B114" s="6" t="inlineStr">
        <is>
          <t>Invert Binary Tree</t>
        </is>
      </c>
      <c r="C114" s="6" t="inlineStr">
        <is>
          <t>LeetCode</t>
        </is>
      </c>
      <c r="D114" s="7" t="inlineStr">
        <is>
          <t>Open</t>
        </is>
      </c>
      <c r="E114" s="6" t="inlineStr">
        <is>
          <t>Trees &amp; binary search trees</t>
        </is>
      </c>
      <c r="F114" s="6" t="inlineStr">
        <is>
          <t>Easy</t>
        </is>
      </c>
      <c r="G114" s="6" t="inlineStr">
        <is>
          <t>Essential</t>
        </is>
      </c>
      <c r="H114" s="6" t="n">
        <v>6</v>
      </c>
      <c r="I114" s="8" t="n"/>
      <c r="J114" s="9" t="inlineStr">
        <is>
          <t>Not started</t>
        </is>
      </c>
      <c r="K114" s="6">
        <f>IF(J114="Solved independently","Yes",IF(OR(J114="",J114="Not started"),"","No"))</f>
        <v/>
      </c>
      <c r="L114" s="9" t="n"/>
      <c r="M114" s="9" t="n"/>
      <c r="N114" s="9" t="n"/>
      <c r="O114" s="9" t="n"/>
      <c r="P114" s="10" t="n"/>
      <c r="Q114" s="9" t="n"/>
      <c r="R114" s="8" t="n"/>
      <c r="S114" s="11">
        <f>IF(R114="","",R114+IF(T114=0,3,IF(T114=1,7,IF(T114=2,21,45))))</f>
        <v/>
      </c>
      <c r="T114" s="9" t="n"/>
      <c r="U114" s="6">
        <f>IF(B114="","",LOWER(TRIM(B114)))</f>
        <v/>
      </c>
      <c r="V114" s="6">
        <f>IF(AND(U114&lt;&gt;"",OR(J114="Solved independently",J114="Solved with hints",J114="Solved after viewing solution"),COUNTIFS($U$2:U113,U114,$V$2:V113,1)=0),1,0)</f>
        <v/>
      </c>
      <c r="W114" s="6">
        <f>IF(AND(U114&lt;&gt;"",COUNTIF($U$2:$U$300,U114)&gt;1),"DUPLICATE KEY","")</f>
        <v/>
      </c>
    </row>
    <row r="115">
      <c r="A115" s="6" t="n">
        <v>114</v>
      </c>
      <c r="B115" s="6" t="inlineStr">
        <is>
          <t>Same Tree</t>
        </is>
      </c>
      <c r="C115" s="6" t="inlineStr">
        <is>
          <t>LeetCode</t>
        </is>
      </c>
      <c r="D115" s="7" t="inlineStr">
        <is>
          <t>Open</t>
        </is>
      </c>
      <c r="E115" s="6" t="inlineStr">
        <is>
          <t>Trees &amp; binary search trees</t>
        </is>
      </c>
      <c r="F115" s="6" t="inlineStr">
        <is>
          <t>Easy</t>
        </is>
      </c>
      <c r="G115" s="6" t="inlineStr">
        <is>
          <t>Essential</t>
        </is>
      </c>
      <c r="H115" s="6" t="n">
        <v>6</v>
      </c>
      <c r="I115" s="8" t="n"/>
      <c r="J115" s="9" t="inlineStr">
        <is>
          <t>Not started</t>
        </is>
      </c>
      <c r="K115" s="6">
        <f>IF(J115="Solved independently","Yes",IF(OR(J115="",J115="Not started"),"","No"))</f>
        <v/>
      </c>
      <c r="L115" s="9" t="n"/>
      <c r="M115" s="9" t="n"/>
      <c r="N115" s="9" t="n"/>
      <c r="O115" s="9" t="n"/>
      <c r="P115" s="10" t="n"/>
      <c r="Q115" s="9" t="n"/>
      <c r="R115" s="8" t="n"/>
      <c r="S115" s="11">
        <f>IF(R115="","",R115+IF(T115=0,3,IF(T115=1,7,IF(T115=2,21,45))))</f>
        <v/>
      </c>
      <c r="T115" s="9" t="n"/>
      <c r="U115" s="6">
        <f>IF(B115="","",LOWER(TRIM(B115)))</f>
        <v/>
      </c>
      <c r="V115" s="6">
        <f>IF(AND(U115&lt;&gt;"",OR(J115="Solved independently",J115="Solved with hints",J115="Solved after viewing solution"),COUNTIFS($U$2:U114,U115,$V$2:V114,1)=0),1,0)</f>
        <v/>
      </c>
      <c r="W115" s="6">
        <f>IF(AND(U115&lt;&gt;"",COUNTIF($U$2:$U$300,U115)&gt;1),"DUPLICATE KEY","")</f>
        <v/>
      </c>
    </row>
    <row r="116">
      <c r="A116" s="6" t="n">
        <v>115</v>
      </c>
      <c r="B116" s="6" t="inlineStr">
        <is>
          <t>Symmetric Tree</t>
        </is>
      </c>
      <c r="C116" s="6" t="inlineStr">
        <is>
          <t>LeetCode</t>
        </is>
      </c>
      <c r="D116" s="7" t="inlineStr">
        <is>
          <t>Open</t>
        </is>
      </c>
      <c r="E116" s="6" t="inlineStr">
        <is>
          <t>Trees &amp; binary search trees</t>
        </is>
      </c>
      <c r="F116" s="6" t="inlineStr">
        <is>
          <t>Easy</t>
        </is>
      </c>
      <c r="G116" s="6" t="inlineStr">
        <is>
          <t>Recommended</t>
        </is>
      </c>
      <c r="H116" s="6" t="n">
        <v>6</v>
      </c>
      <c r="I116" s="8" t="n"/>
      <c r="J116" s="9" t="inlineStr">
        <is>
          <t>Not started</t>
        </is>
      </c>
      <c r="K116" s="6">
        <f>IF(J116="Solved independently","Yes",IF(OR(J116="",J116="Not started"),"","No"))</f>
        <v/>
      </c>
      <c r="L116" s="9" t="n"/>
      <c r="M116" s="9" t="n"/>
      <c r="N116" s="9" t="n"/>
      <c r="O116" s="9" t="n"/>
      <c r="P116" s="10" t="n"/>
      <c r="Q116" s="9" t="n"/>
      <c r="R116" s="8" t="n"/>
      <c r="S116" s="11">
        <f>IF(R116="","",R116+IF(T116=0,3,IF(T116=1,7,IF(T116=2,21,45))))</f>
        <v/>
      </c>
      <c r="T116" s="9" t="n"/>
      <c r="U116" s="6">
        <f>IF(B116="","",LOWER(TRIM(B116)))</f>
        <v/>
      </c>
      <c r="V116" s="6">
        <f>IF(AND(U116&lt;&gt;"",OR(J116="Solved independently",J116="Solved with hints",J116="Solved after viewing solution"),COUNTIFS($U$2:U115,U116,$V$2:V115,1)=0),1,0)</f>
        <v/>
      </c>
      <c r="W116" s="6">
        <f>IF(AND(U116&lt;&gt;"",COUNTIF($U$2:$U$300,U116)&gt;1),"DUPLICATE KEY","")</f>
        <v/>
      </c>
    </row>
    <row r="117">
      <c r="A117" s="6" t="n">
        <v>116</v>
      </c>
      <c r="B117" s="6" t="inlineStr">
        <is>
          <t>Binary Tree Inorder Traversal</t>
        </is>
      </c>
      <c r="C117" s="6" t="inlineStr">
        <is>
          <t>LeetCode</t>
        </is>
      </c>
      <c r="D117" s="7" t="inlineStr">
        <is>
          <t>Open</t>
        </is>
      </c>
      <c r="E117" s="6" t="inlineStr">
        <is>
          <t>Trees &amp; binary search trees</t>
        </is>
      </c>
      <c r="F117" s="6" t="inlineStr">
        <is>
          <t>Easy</t>
        </is>
      </c>
      <c r="G117" s="6" t="inlineStr">
        <is>
          <t>Essential</t>
        </is>
      </c>
      <c r="H117" s="6" t="n">
        <v>6</v>
      </c>
      <c r="I117" s="8" t="n"/>
      <c r="J117" s="9" t="inlineStr">
        <is>
          <t>Not started</t>
        </is>
      </c>
      <c r="K117" s="6">
        <f>IF(J117="Solved independently","Yes",IF(OR(J117="",J117="Not started"),"","No"))</f>
        <v/>
      </c>
      <c r="L117" s="9" t="n"/>
      <c r="M117" s="9" t="n"/>
      <c r="N117" s="9" t="n"/>
      <c r="O117" s="9" t="n"/>
      <c r="P117" s="10" t="n"/>
      <c r="Q117" s="9" t="n"/>
      <c r="R117" s="8" t="n"/>
      <c r="S117" s="11">
        <f>IF(R117="","",R117+IF(T117=0,3,IF(T117=1,7,IF(T117=2,21,45))))</f>
        <v/>
      </c>
      <c r="T117" s="9" t="n"/>
      <c r="U117" s="6">
        <f>IF(B117="","",LOWER(TRIM(B117)))</f>
        <v/>
      </c>
      <c r="V117" s="6">
        <f>IF(AND(U117&lt;&gt;"",OR(J117="Solved independently",J117="Solved with hints",J117="Solved after viewing solution"),COUNTIFS($U$2:U116,U117,$V$2:V116,1)=0),1,0)</f>
        <v/>
      </c>
      <c r="W117" s="6">
        <f>IF(AND(U117&lt;&gt;"",COUNTIF($U$2:$U$300,U117)&gt;1),"DUPLICATE KEY","")</f>
        <v/>
      </c>
    </row>
    <row r="118">
      <c r="A118" s="6" t="n">
        <v>117</v>
      </c>
      <c r="B118" s="6" t="inlineStr">
        <is>
          <t>Binary Tree Level Order Traversal</t>
        </is>
      </c>
      <c r="C118" s="6" t="inlineStr">
        <is>
          <t>LeetCode</t>
        </is>
      </c>
      <c r="D118" s="7" t="inlineStr">
        <is>
          <t>Open</t>
        </is>
      </c>
      <c r="E118" s="6" t="inlineStr">
        <is>
          <t>Trees &amp; binary search trees</t>
        </is>
      </c>
      <c r="F118" s="6" t="inlineStr">
        <is>
          <t>Medium</t>
        </is>
      </c>
      <c r="G118" s="6" t="inlineStr">
        <is>
          <t>Essential</t>
        </is>
      </c>
      <c r="H118" s="6" t="n">
        <v>6</v>
      </c>
      <c r="I118" s="8" t="n"/>
      <c r="J118" s="9" t="inlineStr">
        <is>
          <t>Not started</t>
        </is>
      </c>
      <c r="K118" s="6">
        <f>IF(J118="Solved independently","Yes",IF(OR(J118="",J118="Not started"),"","No"))</f>
        <v/>
      </c>
      <c r="L118" s="9" t="n"/>
      <c r="M118" s="9" t="n"/>
      <c r="N118" s="9" t="n"/>
      <c r="O118" s="9" t="n"/>
      <c r="P118" s="10" t="n"/>
      <c r="Q118" s="9" t="n"/>
      <c r="R118" s="8" t="n"/>
      <c r="S118" s="11">
        <f>IF(R118="","",R118+IF(T118=0,3,IF(T118=1,7,IF(T118=2,21,45))))</f>
        <v/>
      </c>
      <c r="T118" s="9" t="n"/>
      <c r="U118" s="6">
        <f>IF(B118="","",LOWER(TRIM(B118)))</f>
        <v/>
      </c>
      <c r="V118" s="6">
        <f>IF(AND(U118&lt;&gt;"",OR(J118="Solved independently",J118="Solved with hints",J118="Solved after viewing solution"),COUNTIFS($U$2:U117,U118,$V$2:V117,1)=0),1,0)</f>
        <v/>
      </c>
      <c r="W118" s="6">
        <f>IF(AND(U118&lt;&gt;"",COUNTIF($U$2:$U$300,U118)&gt;1),"DUPLICATE KEY","")</f>
        <v/>
      </c>
    </row>
    <row r="119">
      <c r="A119" s="6" t="n">
        <v>118</v>
      </c>
      <c r="B119" s="6" t="inlineStr">
        <is>
          <t>Subtree of Another Tree</t>
        </is>
      </c>
      <c r="C119" s="6" t="inlineStr">
        <is>
          <t>LeetCode</t>
        </is>
      </c>
      <c r="D119" s="7" t="inlineStr">
        <is>
          <t>Open</t>
        </is>
      </c>
      <c r="E119" s="6" t="inlineStr">
        <is>
          <t>Trees &amp; binary search trees</t>
        </is>
      </c>
      <c r="F119" s="6" t="inlineStr">
        <is>
          <t>Easy</t>
        </is>
      </c>
      <c r="G119" s="6" t="inlineStr">
        <is>
          <t>Recommended</t>
        </is>
      </c>
      <c r="H119" s="6" t="n">
        <v>6</v>
      </c>
      <c r="I119" s="8" t="n"/>
      <c r="J119" s="9" t="inlineStr">
        <is>
          <t>Not started</t>
        </is>
      </c>
      <c r="K119" s="6">
        <f>IF(J119="Solved independently","Yes",IF(OR(J119="",J119="Not started"),"","No"))</f>
        <v/>
      </c>
      <c r="L119" s="9" t="n"/>
      <c r="M119" s="9" t="n"/>
      <c r="N119" s="9" t="n"/>
      <c r="O119" s="9" t="n"/>
      <c r="P119" s="10" t="n"/>
      <c r="Q119" s="9" t="n"/>
      <c r="R119" s="8" t="n"/>
      <c r="S119" s="11">
        <f>IF(R119="","",R119+IF(T119=0,3,IF(T119=1,7,IF(T119=2,21,45))))</f>
        <v/>
      </c>
      <c r="T119" s="9" t="n"/>
      <c r="U119" s="6">
        <f>IF(B119="","",LOWER(TRIM(B119)))</f>
        <v/>
      </c>
      <c r="V119" s="6">
        <f>IF(AND(U119&lt;&gt;"",OR(J119="Solved independently",J119="Solved with hints",J119="Solved after viewing solution"),COUNTIFS($U$2:U118,U119,$V$2:V118,1)=0),1,0)</f>
        <v/>
      </c>
      <c r="W119" s="6">
        <f>IF(AND(U119&lt;&gt;"",COUNTIF($U$2:$U$300,U119)&gt;1),"DUPLICATE KEY","")</f>
        <v/>
      </c>
    </row>
    <row r="120">
      <c r="A120" s="6" t="n">
        <v>119</v>
      </c>
      <c r="B120" s="6" t="inlineStr">
        <is>
          <t>Diameter of Binary Tree</t>
        </is>
      </c>
      <c r="C120" s="6" t="inlineStr">
        <is>
          <t>LeetCode</t>
        </is>
      </c>
      <c r="D120" s="7" t="inlineStr">
        <is>
          <t>Open</t>
        </is>
      </c>
      <c r="E120" s="6" t="inlineStr">
        <is>
          <t>Trees &amp; binary search trees</t>
        </is>
      </c>
      <c r="F120" s="6" t="inlineStr">
        <is>
          <t>Easy</t>
        </is>
      </c>
      <c r="G120" s="6" t="inlineStr">
        <is>
          <t>Essential</t>
        </is>
      </c>
      <c r="H120" s="6" t="n">
        <v>6</v>
      </c>
      <c r="I120" s="8" t="n"/>
      <c r="J120" s="9" t="inlineStr">
        <is>
          <t>Not started</t>
        </is>
      </c>
      <c r="K120" s="6">
        <f>IF(J120="Solved independently","Yes",IF(OR(J120="",J120="Not started"),"","No"))</f>
        <v/>
      </c>
      <c r="L120" s="9" t="n"/>
      <c r="M120" s="9" t="n"/>
      <c r="N120" s="9" t="n"/>
      <c r="O120" s="9" t="n"/>
      <c r="P120" s="10" t="n"/>
      <c r="Q120" s="9" t="n"/>
      <c r="R120" s="8" t="n"/>
      <c r="S120" s="11">
        <f>IF(R120="","",R120+IF(T120=0,3,IF(T120=1,7,IF(T120=2,21,45))))</f>
        <v/>
      </c>
      <c r="T120" s="9" t="n"/>
      <c r="U120" s="6">
        <f>IF(B120="","",LOWER(TRIM(B120)))</f>
        <v/>
      </c>
      <c r="V120" s="6">
        <f>IF(AND(U120&lt;&gt;"",OR(J120="Solved independently",J120="Solved with hints",J120="Solved after viewing solution"),COUNTIFS($U$2:U119,U120,$V$2:V119,1)=0),1,0)</f>
        <v/>
      </c>
      <c r="W120" s="6">
        <f>IF(AND(U120&lt;&gt;"",COUNTIF($U$2:$U$300,U120)&gt;1),"DUPLICATE KEY","")</f>
        <v/>
      </c>
    </row>
    <row r="121">
      <c r="A121" s="6" t="n">
        <v>120</v>
      </c>
      <c r="B121" s="6" t="inlineStr">
        <is>
          <t>Balanced Binary Tree</t>
        </is>
      </c>
      <c r="C121" s="6" t="inlineStr">
        <is>
          <t>LeetCode</t>
        </is>
      </c>
      <c r="D121" s="7" t="inlineStr">
        <is>
          <t>Open</t>
        </is>
      </c>
      <c r="E121" s="6" t="inlineStr">
        <is>
          <t>Trees &amp; binary search trees</t>
        </is>
      </c>
      <c r="F121" s="6" t="inlineStr">
        <is>
          <t>Easy</t>
        </is>
      </c>
      <c r="G121" s="6" t="inlineStr">
        <is>
          <t>Recommended</t>
        </is>
      </c>
      <c r="H121" s="6" t="n">
        <v>6</v>
      </c>
      <c r="I121" s="8" t="n"/>
      <c r="J121" s="9" t="inlineStr">
        <is>
          <t>Not started</t>
        </is>
      </c>
      <c r="K121" s="6">
        <f>IF(J121="Solved independently","Yes",IF(OR(J121="",J121="Not started"),"","No"))</f>
        <v/>
      </c>
      <c r="L121" s="9" t="n"/>
      <c r="M121" s="9" t="n"/>
      <c r="N121" s="9" t="n"/>
      <c r="O121" s="9" t="n"/>
      <c r="P121" s="10" t="n"/>
      <c r="Q121" s="9" t="n"/>
      <c r="R121" s="8" t="n"/>
      <c r="S121" s="11">
        <f>IF(R121="","",R121+IF(T121=0,3,IF(T121=1,7,IF(T121=2,21,45))))</f>
        <v/>
      </c>
      <c r="T121" s="9" t="n"/>
      <c r="U121" s="6">
        <f>IF(B121="","",LOWER(TRIM(B121)))</f>
        <v/>
      </c>
      <c r="V121" s="6">
        <f>IF(AND(U121&lt;&gt;"",OR(J121="Solved independently",J121="Solved with hints",J121="Solved after viewing solution"),COUNTIFS($U$2:U120,U121,$V$2:V120,1)=0),1,0)</f>
        <v/>
      </c>
      <c r="W121" s="6">
        <f>IF(AND(U121&lt;&gt;"",COUNTIF($U$2:$U$300,U121)&gt;1),"DUPLICATE KEY","")</f>
        <v/>
      </c>
    </row>
    <row r="122">
      <c r="A122" s="6" t="n">
        <v>121</v>
      </c>
      <c r="B122" s="6" t="inlineStr">
        <is>
          <t>Path Sum</t>
        </is>
      </c>
      <c r="C122" s="6" t="inlineStr">
        <is>
          <t>LeetCode</t>
        </is>
      </c>
      <c r="D122" s="7" t="inlineStr">
        <is>
          <t>Open</t>
        </is>
      </c>
      <c r="E122" s="6" t="inlineStr">
        <is>
          <t>Trees &amp; binary search trees</t>
        </is>
      </c>
      <c r="F122" s="6" t="inlineStr">
        <is>
          <t>Easy</t>
        </is>
      </c>
      <c r="G122" s="6" t="inlineStr">
        <is>
          <t>Recommended</t>
        </is>
      </c>
      <c r="H122" s="6" t="n">
        <v>6</v>
      </c>
      <c r="I122" s="8" t="n"/>
      <c r="J122" s="9" t="inlineStr">
        <is>
          <t>Not started</t>
        </is>
      </c>
      <c r="K122" s="6">
        <f>IF(J122="Solved independently","Yes",IF(OR(J122="",J122="Not started"),"","No"))</f>
        <v/>
      </c>
      <c r="L122" s="9" t="n"/>
      <c r="M122" s="9" t="n"/>
      <c r="N122" s="9" t="n"/>
      <c r="O122" s="9" t="n"/>
      <c r="P122" s="10" t="n"/>
      <c r="Q122" s="9" t="n"/>
      <c r="R122" s="8" t="n"/>
      <c r="S122" s="11">
        <f>IF(R122="","",R122+IF(T122=0,3,IF(T122=1,7,IF(T122=2,21,45))))</f>
        <v/>
      </c>
      <c r="T122" s="9" t="n"/>
      <c r="U122" s="6">
        <f>IF(B122="","",LOWER(TRIM(B122)))</f>
        <v/>
      </c>
      <c r="V122" s="6">
        <f>IF(AND(U122&lt;&gt;"",OR(J122="Solved independently",J122="Solved with hints",J122="Solved after viewing solution"),COUNTIFS($U$2:U121,U122,$V$2:V121,1)=0),1,0)</f>
        <v/>
      </c>
      <c r="W122" s="6">
        <f>IF(AND(U122&lt;&gt;"",COUNTIF($U$2:$U$300,U122)&gt;1),"DUPLICATE KEY","")</f>
        <v/>
      </c>
    </row>
    <row r="123">
      <c r="A123" s="6" t="n">
        <v>122</v>
      </c>
      <c r="B123" s="6" t="inlineStr">
        <is>
          <t>Binary Tree Right Side View</t>
        </is>
      </c>
      <c r="C123" s="6" t="inlineStr">
        <is>
          <t>LeetCode</t>
        </is>
      </c>
      <c r="D123" s="7" t="inlineStr">
        <is>
          <t>Open</t>
        </is>
      </c>
      <c r="E123" s="6" t="inlineStr">
        <is>
          <t>Trees &amp; binary search trees</t>
        </is>
      </c>
      <c r="F123" s="6" t="inlineStr">
        <is>
          <t>Medium</t>
        </is>
      </c>
      <c r="G123" s="6" t="inlineStr">
        <is>
          <t>Recommended</t>
        </is>
      </c>
      <c r="H123" s="6" t="n">
        <v>6</v>
      </c>
      <c r="I123" s="8" t="n"/>
      <c r="J123" s="9" t="inlineStr">
        <is>
          <t>Not started</t>
        </is>
      </c>
      <c r="K123" s="6">
        <f>IF(J123="Solved independently","Yes",IF(OR(J123="",J123="Not started"),"","No"))</f>
        <v/>
      </c>
      <c r="L123" s="9" t="n"/>
      <c r="M123" s="9" t="n"/>
      <c r="N123" s="9" t="n"/>
      <c r="O123" s="9" t="n"/>
      <c r="P123" s="10" t="n"/>
      <c r="Q123" s="9" t="n"/>
      <c r="R123" s="8" t="n"/>
      <c r="S123" s="11">
        <f>IF(R123="","",R123+IF(T123=0,3,IF(T123=1,7,IF(T123=2,21,45))))</f>
        <v/>
      </c>
      <c r="T123" s="9" t="n"/>
      <c r="U123" s="6">
        <f>IF(B123="","",LOWER(TRIM(B123)))</f>
        <v/>
      </c>
      <c r="V123" s="6">
        <f>IF(AND(U123&lt;&gt;"",OR(J123="Solved independently",J123="Solved with hints",J123="Solved after viewing solution"),COUNTIFS($U$2:U122,U123,$V$2:V122,1)=0),1,0)</f>
        <v/>
      </c>
      <c r="W123" s="6">
        <f>IF(AND(U123&lt;&gt;"",COUNTIF($U$2:$U$300,U123)&gt;1),"DUPLICATE KEY","")</f>
        <v/>
      </c>
    </row>
    <row r="124">
      <c r="A124" s="6" t="n">
        <v>123</v>
      </c>
      <c r="B124" s="6" t="inlineStr">
        <is>
          <t>Lowest Common Ancestor of a Binary Search Tree</t>
        </is>
      </c>
      <c r="C124" s="6" t="inlineStr">
        <is>
          <t>LeetCode</t>
        </is>
      </c>
      <c r="D124" s="7" t="inlineStr">
        <is>
          <t>Open</t>
        </is>
      </c>
      <c r="E124" s="6" t="inlineStr">
        <is>
          <t>Trees &amp; binary search trees</t>
        </is>
      </c>
      <c r="F124" s="6" t="inlineStr">
        <is>
          <t>Medium</t>
        </is>
      </c>
      <c r="G124" s="6" t="inlineStr">
        <is>
          <t>Essential</t>
        </is>
      </c>
      <c r="H124" s="6" t="n">
        <v>6</v>
      </c>
      <c r="I124" s="8" t="n"/>
      <c r="J124" s="9" t="inlineStr">
        <is>
          <t>Not started</t>
        </is>
      </c>
      <c r="K124" s="6">
        <f>IF(J124="Solved independently","Yes",IF(OR(J124="",J124="Not started"),"","No"))</f>
        <v/>
      </c>
      <c r="L124" s="9" t="n"/>
      <c r="M124" s="9" t="n"/>
      <c r="N124" s="9" t="n"/>
      <c r="O124" s="9" t="n"/>
      <c r="P124" s="10" t="n"/>
      <c r="Q124" s="9" t="n"/>
      <c r="R124" s="8" t="n"/>
      <c r="S124" s="11">
        <f>IF(R124="","",R124+IF(T124=0,3,IF(T124=1,7,IF(T124=2,21,45))))</f>
        <v/>
      </c>
      <c r="T124" s="9" t="n"/>
      <c r="U124" s="6">
        <f>IF(B124="","",LOWER(TRIM(B124)))</f>
        <v/>
      </c>
      <c r="V124" s="6">
        <f>IF(AND(U124&lt;&gt;"",OR(J124="Solved independently",J124="Solved with hints",J124="Solved after viewing solution"),COUNTIFS($U$2:U123,U124,$V$2:V123,1)=0),1,0)</f>
        <v/>
      </c>
      <c r="W124" s="6">
        <f>IF(AND(U124&lt;&gt;"",COUNTIF($U$2:$U$300,U124)&gt;1),"DUPLICATE KEY","")</f>
        <v/>
      </c>
    </row>
    <row r="125">
      <c r="A125" s="6" t="n">
        <v>124</v>
      </c>
      <c r="B125" s="6" t="inlineStr">
        <is>
          <t>Lowest Common Ancestor of a Binary Tree</t>
        </is>
      </c>
      <c r="C125" s="6" t="inlineStr">
        <is>
          <t>LeetCode</t>
        </is>
      </c>
      <c r="D125" s="7" t="inlineStr">
        <is>
          <t>Open</t>
        </is>
      </c>
      <c r="E125" s="6" t="inlineStr">
        <is>
          <t>Trees &amp; binary search trees</t>
        </is>
      </c>
      <c r="F125" s="6" t="inlineStr">
        <is>
          <t>Medium</t>
        </is>
      </c>
      <c r="G125" s="6" t="inlineStr">
        <is>
          <t>Essential</t>
        </is>
      </c>
      <c r="H125" s="6" t="n">
        <v>6</v>
      </c>
      <c r="I125" s="8" t="n"/>
      <c r="J125" s="9" t="inlineStr">
        <is>
          <t>Not started</t>
        </is>
      </c>
      <c r="K125" s="6">
        <f>IF(J125="Solved independently","Yes",IF(OR(J125="",J125="Not started"),"","No"))</f>
        <v/>
      </c>
      <c r="L125" s="9" t="n"/>
      <c r="M125" s="9" t="n"/>
      <c r="N125" s="9" t="n"/>
      <c r="O125" s="9" t="n"/>
      <c r="P125" s="10" t="n"/>
      <c r="Q125" s="9" t="n"/>
      <c r="R125" s="8" t="n"/>
      <c r="S125" s="11">
        <f>IF(R125="","",R125+IF(T125=0,3,IF(T125=1,7,IF(T125=2,21,45))))</f>
        <v/>
      </c>
      <c r="T125" s="9" t="n"/>
      <c r="U125" s="6">
        <f>IF(B125="","",LOWER(TRIM(B125)))</f>
        <v/>
      </c>
      <c r="V125" s="6">
        <f>IF(AND(U125&lt;&gt;"",OR(J125="Solved independently",J125="Solved with hints",J125="Solved after viewing solution"),COUNTIFS($U$2:U124,U125,$V$2:V124,1)=0),1,0)</f>
        <v/>
      </c>
      <c r="W125" s="6">
        <f>IF(AND(U125&lt;&gt;"",COUNTIF($U$2:$U$300,U125)&gt;1),"DUPLICATE KEY","")</f>
        <v/>
      </c>
    </row>
    <row r="126">
      <c r="A126" s="6" t="n">
        <v>125</v>
      </c>
      <c r="B126" s="6" t="inlineStr">
        <is>
          <t>Validate Binary Search Tree</t>
        </is>
      </c>
      <c r="C126" s="6" t="inlineStr">
        <is>
          <t>LeetCode</t>
        </is>
      </c>
      <c r="D126" s="7" t="inlineStr">
        <is>
          <t>Open</t>
        </is>
      </c>
      <c r="E126" s="6" t="inlineStr">
        <is>
          <t>Trees &amp; binary search trees</t>
        </is>
      </c>
      <c r="F126" s="6" t="inlineStr">
        <is>
          <t>Medium</t>
        </is>
      </c>
      <c r="G126" s="6" t="inlineStr">
        <is>
          <t>Essential</t>
        </is>
      </c>
      <c r="H126" s="6" t="n">
        <v>6</v>
      </c>
      <c r="I126" s="8" t="n"/>
      <c r="J126" s="9" t="inlineStr">
        <is>
          <t>Not started</t>
        </is>
      </c>
      <c r="K126" s="6">
        <f>IF(J126="Solved independently","Yes",IF(OR(J126="",J126="Not started"),"","No"))</f>
        <v/>
      </c>
      <c r="L126" s="9" t="n"/>
      <c r="M126" s="9" t="n"/>
      <c r="N126" s="9" t="n"/>
      <c r="O126" s="9" t="n"/>
      <c r="P126" s="10" t="n"/>
      <c r="Q126" s="9" t="n"/>
      <c r="R126" s="8" t="n"/>
      <c r="S126" s="11">
        <f>IF(R126="","",R126+IF(T126=0,3,IF(T126=1,7,IF(T126=2,21,45))))</f>
        <v/>
      </c>
      <c r="T126" s="9" t="n"/>
      <c r="U126" s="6">
        <f>IF(B126="","",LOWER(TRIM(B126)))</f>
        <v/>
      </c>
      <c r="V126" s="6">
        <f>IF(AND(U126&lt;&gt;"",OR(J126="Solved independently",J126="Solved with hints",J126="Solved after viewing solution"),COUNTIFS($U$2:U125,U126,$V$2:V125,1)=0),1,0)</f>
        <v/>
      </c>
      <c r="W126" s="6">
        <f>IF(AND(U126&lt;&gt;"",COUNTIF($U$2:$U$300,U126)&gt;1),"DUPLICATE KEY","")</f>
        <v/>
      </c>
    </row>
    <row r="127">
      <c r="A127" s="6" t="n">
        <v>126</v>
      </c>
      <c r="B127" s="6" t="inlineStr">
        <is>
          <t>Kth Smallest Element in a BST</t>
        </is>
      </c>
      <c r="C127" s="6" t="inlineStr">
        <is>
          <t>LeetCode</t>
        </is>
      </c>
      <c r="D127" s="7" t="inlineStr">
        <is>
          <t>Open</t>
        </is>
      </c>
      <c r="E127" s="6" t="inlineStr">
        <is>
          <t>Trees &amp; binary search trees</t>
        </is>
      </c>
      <c r="F127" s="6" t="inlineStr">
        <is>
          <t>Medium</t>
        </is>
      </c>
      <c r="G127" s="6" t="inlineStr">
        <is>
          <t>Essential</t>
        </is>
      </c>
      <c r="H127" s="6" t="n">
        <v>6</v>
      </c>
      <c r="I127" s="8" t="n"/>
      <c r="J127" s="9" t="inlineStr">
        <is>
          <t>Not started</t>
        </is>
      </c>
      <c r="K127" s="6">
        <f>IF(J127="Solved independently","Yes",IF(OR(J127="",J127="Not started"),"","No"))</f>
        <v/>
      </c>
      <c r="L127" s="9" t="n"/>
      <c r="M127" s="9" t="n"/>
      <c r="N127" s="9" t="n"/>
      <c r="O127" s="9" t="n"/>
      <c r="P127" s="10" t="n"/>
      <c r="Q127" s="9" t="n"/>
      <c r="R127" s="8" t="n"/>
      <c r="S127" s="11">
        <f>IF(R127="","",R127+IF(T127=0,3,IF(T127=1,7,IF(T127=2,21,45))))</f>
        <v/>
      </c>
      <c r="T127" s="9" t="n"/>
      <c r="U127" s="6">
        <f>IF(B127="","",LOWER(TRIM(B127)))</f>
        <v/>
      </c>
      <c r="V127" s="6">
        <f>IF(AND(U127&lt;&gt;"",OR(J127="Solved independently",J127="Solved with hints",J127="Solved after viewing solution"),COUNTIFS($U$2:U126,U127,$V$2:V126,1)=0),1,0)</f>
        <v/>
      </c>
      <c r="W127" s="6">
        <f>IF(AND(U127&lt;&gt;"",COUNTIF($U$2:$U$300,U127)&gt;1),"DUPLICATE KEY","")</f>
        <v/>
      </c>
    </row>
    <row r="128">
      <c r="A128" s="6" t="n">
        <v>127</v>
      </c>
      <c r="B128" s="6" t="inlineStr">
        <is>
          <t>Convert Sorted Array to Binary Search Tree</t>
        </is>
      </c>
      <c r="C128" s="6" t="inlineStr">
        <is>
          <t>LeetCode</t>
        </is>
      </c>
      <c r="D128" s="7" t="inlineStr">
        <is>
          <t>Open</t>
        </is>
      </c>
      <c r="E128" s="6" t="inlineStr">
        <is>
          <t>Trees &amp; binary search trees</t>
        </is>
      </c>
      <c r="F128" s="6" t="inlineStr">
        <is>
          <t>Easy</t>
        </is>
      </c>
      <c r="G128" s="6" t="inlineStr">
        <is>
          <t>Recommended</t>
        </is>
      </c>
      <c r="H128" s="6" t="n">
        <v>6</v>
      </c>
      <c r="I128" s="8" t="n"/>
      <c r="J128" s="9" t="inlineStr">
        <is>
          <t>Not started</t>
        </is>
      </c>
      <c r="K128" s="6">
        <f>IF(J128="Solved independently","Yes",IF(OR(J128="",J128="Not started"),"","No"))</f>
        <v/>
      </c>
      <c r="L128" s="9" t="n"/>
      <c r="M128" s="9" t="n"/>
      <c r="N128" s="9" t="n"/>
      <c r="O128" s="9" t="n"/>
      <c r="P128" s="10" t="n"/>
      <c r="Q128" s="9" t="n"/>
      <c r="R128" s="8" t="n"/>
      <c r="S128" s="11">
        <f>IF(R128="","",R128+IF(T128=0,3,IF(T128=1,7,IF(T128=2,21,45))))</f>
        <v/>
      </c>
      <c r="T128" s="9" t="n"/>
      <c r="U128" s="6">
        <f>IF(B128="","",LOWER(TRIM(B128)))</f>
        <v/>
      </c>
      <c r="V128" s="6">
        <f>IF(AND(U128&lt;&gt;"",OR(J128="Solved independently",J128="Solved with hints",J128="Solved after viewing solution"),COUNTIFS($U$2:U127,U128,$V$2:V127,1)=0),1,0)</f>
        <v/>
      </c>
      <c r="W128" s="6">
        <f>IF(AND(U128&lt;&gt;"",COUNTIF($U$2:$U$300,U128)&gt;1),"DUPLICATE KEY","")</f>
        <v/>
      </c>
    </row>
    <row r="129">
      <c r="A129" s="6" t="n">
        <v>128</v>
      </c>
      <c r="B129" s="6" t="inlineStr">
        <is>
          <t>Construct Binary Tree from Preorder and Inorder Traversal</t>
        </is>
      </c>
      <c r="C129" s="6" t="inlineStr">
        <is>
          <t>LeetCode</t>
        </is>
      </c>
      <c r="D129" s="7" t="inlineStr">
        <is>
          <t>Open</t>
        </is>
      </c>
      <c r="E129" s="6" t="inlineStr">
        <is>
          <t>Trees &amp; binary search trees</t>
        </is>
      </c>
      <c r="F129" s="6" t="inlineStr">
        <is>
          <t>Medium</t>
        </is>
      </c>
      <c r="G129" s="6" t="inlineStr">
        <is>
          <t>Recommended</t>
        </is>
      </c>
      <c r="H129" s="6" t="n">
        <v>6</v>
      </c>
      <c r="I129" s="8" t="n"/>
      <c r="J129" s="9" t="inlineStr">
        <is>
          <t>Not started</t>
        </is>
      </c>
      <c r="K129" s="6">
        <f>IF(J129="Solved independently","Yes",IF(OR(J129="",J129="Not started"),"","No"))</f>
        <v/>
      </c>
      <c r="L129" s="9" t="n"/>
      <c r="M129" s="9" t="n"/>
      <c r="N129" s="9" t="n"/>
      <c r="O129" s="9" t="n"/>
      <c r="P129" s="10" t="n"/>
      <c r="Q129" s="9" t="n"/>
      <c r="R129" s="8" t="n"/>
      <c r="S129" s="11">
        <f>IF(R129="","",R129+IF(T129=0,3,IF(T129=1,7,IF(T129=2,21,45))))</f>
        <v/>
      </c>
      <c r="T129" s="9" t="n"/>
      <c r="U129" s="6">
        <f>IF(B129="","",LOWER(TRIM(B129)))</f>
        <v/>
      </c>
      <c r="V129" s="6">
        <f>IF(AND(U129&lt;&gt;"",OR(J129="Solved independently",J129="Solved with hints",J129="Solved after viewing solution"),COUNTIFS($U$2:U128,U129,$V$2:V128,1)=0),1,0)</f>
        <v/>
      </c>
      <c r="W129" s="6">
        <f>IF(AND(U129&lt;&gt;"",COUNTIF($U$2:$U$300,U129)&gt;1),"DUPLICATE KEY","")</f>
        <v/>
      </c>
    </row>
    <row r="130">
      <c r="A130" s="6" t="n">
        <v>129</v>
      </c>
      <c r="B130" s="6" t="inlineStr">
        <is>
          <t>Binary Tree Maximum Path Sum</t>
        </is>
      </c>
      <c r="C130" s="6" t="inlineStr">
        <is>
          <t>LeetCode</t>
        </is>
      </c>
      <c r="D130" s="7" t="inlineStr">
        <is>
          <t>Open</t>
        </is>
      </c>
      <c r="E130" s="6" t="inlineStr">
        <is>
          <t>Trees &amp; binary search trees</t>
        </is>
      </c>
      <c r="F130" s="6" t="inlineStr">
        <is>
          <t>Hard</t>
        </is>
      </c>
      <c r="G130" s="6" t="inlineStr">
        <is>
          <t>Optional</t>
        </is>
      </c>
      <c r="H130" s="6" t="n">
        <v>6</v>
      </c>
      <c r="I130" s="8" t="n"/>
      <c r="J130" s="9" t="inlineStr">
        <is>
          <t>Not started</t>
        </is>
      </c>
      <c r="K130" s="6">
        <f>IF(J130="Solved independently","Yes",IF(OR(J130="",J130="Not started"),"","No"))</f>
        <v/>
      </c>
      <c r="L130" s="9" t="n"/>
      <c r="M130" s="9" t="n"/>
      <c r="N130" s="9" t="n"/>
      <c r="O130" s="9" t="n"/>
      <c r="P130" s="10" t="n"/>
      <c r="Q130" s="9" t="n"/>
      <c r="R130" s="8" t="n"/>
      <c r="S130" s="11">
        <f>IF(R130="","",R130+IF(T130=0,3,IF(T130=1,7,IF(T130=2,21,45))))</f>
        <v/>
      </c>
      <c r="T130" s="9" t="n"/>
      <c r="U130" s="6">
        <f>IF(B130="","",LOWER(TRIM(B130)))</f>
        <v/>
      </c>
      <c r="V130" s="6">
        <f>IF(AND(U130&lt;&gt;"",OR(J130="Solved independently",J130="Solved with hints",J130="Solved after viewing solution"),COUNTIFS($U$2:U129,U130,$V$2:V129,1)=0),1,0)</f>
        <v/>
      </c>
      <c r="W130" s="6">
        <f>IF(AND(U130&lt;&gt;"",COUNTIF($U$2:$U$300,U130)&gt;1),"DUPLICATE KEY","")</f>
        <v/>
      </c>
    </row>
    <row r="131">
      <c r="A131" s="6" t="n">
        <v>130</v>
      </c>
      <c r="B131" s="6" t="inlineStr">
        <is>
          <t>Last Stone Weight</t>
        </is>
      </c>
      <c r="C131" s="6" t="inlineStr">
        <is>
          <t>LeetCode</t>
        </is>
      </c>
      <c r="D131" s="7" t="inlineStr">
        <is>
          <t>Open</t>
        </is>
      </c>
      <c r="E131" s="6" t="inlineStr">
        <is>
          <t>Heaps &amp; priority queues</t>
        </is>
      </c>
      <c r="F131" s="6" t="inlineStr">
        <is>
          <t>Easy</t>
        </is>
      </c>
      <c r="G131" s="6" t="inlineStr">
        <is>
          <t>Essential</t>
        </is>
      </c>
      <c r="H131" s="6" t="n">
        <v>7</v>
      </c>
      <c r="I131" s="8" t="n"/>
      <c r="J131" s="9" t="inlineStr">
        <is>
          <t>Not started</t>
        </is>
      </c>
      <c r="K131" s="6">
        <f>IF(J131="Solved independently","Yes",IF(OR(J131="",J131="Not started"),"","No"))</f>
        <v/>
      </c>
      <c r="L131" s="9" t="n"/>
      <c r="M131" s="9" t="n"/>
      <c r="N131" s="9" t="n"/>
      <c r="O131" s="9" t="n"/>
      <c r="P131" s="10" t="n"/>
      <c r="Q131" s="9" t="n"/>
      <c r="R131" s="8" t="n"/>
      <c r="S131" s="11">
        <f>IF(R131="","",R131+IF(T131=0,3,IF(T131=1,7,IF(T131=2,21,45))))</f>
        <v/>
      </c>
      <c r="T131" s="9" t="n"/>
      <c r="U131" s="6">
        <f>IF(B131="","",LOWER(TRIM(B131)))</f>
        <v/>
      </c>
      <c r="V131" s="6">
        <f>IF(AND(U131&lt;&gt;"",OR(J131="Solved independently",J131="Solved with hints",J131="Solved after viewing solution"),COUNTIFS($U$2:U130,U131,$V$2:V130,1)=0),1,0)</f>
        <v/>
      </c>
      <c r="W131" s="6">
        <f>IF(AND(U131&lt;&gt;"",COUNTIF($U$2:$U$300,U131)&gt;1),"DUPLICATE KEY","")</f>
        <v/>
      </c>
    </row>
    <row r="132">
      <c r="A132" s="6" t="n">
        <v>131</v>
      </c>
      <c r="B132" s="6" t="inlineStr">
        <is>
          <t>Kth Largest Element in a Stream</t>
        </is>
      </c>
      <c r="C132" s="6" t="inlineStr">
        <is>
          <t>LeetCode</t>
        </is>
      </c>
      <c r="D132" s="7" t="inlineStr">
        <is>
          <t>Open</t>
        </is>
      </c>
      <c r="E132" s="6" t="inlineStr">
        <is>
          <t>Heaps &amp; priority queues</t>
        </is>
      </c>
      <c r="F132" s="6" t="inlineStr">
        <is>
          <t>Easy</t>
        </is>
      </c>
      <c r="G132" s="6" t="inlineStr">
        <is>
          <t>Essential</t>
        </is>
      </c>
      <c r="H132" s="6" t="n">
        <v>7</v>
      </c>
      <c r="I132" s="8" t="n"/>
      <c r="J132" s="9" t="inlineStr">
        <is>
          <t>Not started</t>
        </is>
      </c>
      <c r="K132" s="6">
        <f>IF(J132="Solved independently","Yes",IF(OR(J132="",J132="Not started"),"","No"))</f>
        <v/>
      </c>
      <c r="L132" s="9" t="n"/>
      <c r="M132" s="9" t="n"/>
      <c r="N132" s="9" t="n"/>
      <c r="O132" s="9" t="n"/>
      <c r="P132" s="10" t="n"/>
      <c r="Q132" s="9" t="n"/>
      <c r="R132" s="8" t="n"/>
      <c r="S132" s="11">
        <f>IF(R132="","",R132+IF(T132=0,3,IF(T132=1,7,IF(T132=2,21,45))))</f>
        <v/>
      </c>
      <c r="T132" s="9" t="n"/>
      <c r="U132" s="6">
        <f>IF(B132="","",LOWER(TRIM(B132)))</f>
        <v/>
      </c>
      <c r="V132" s="6">
        <f>IF(AND(U132&lt;&gt;"",OR(J132="Solved independently",J132="Solved with hints",J132="Solved after viewing solution"),COUNTIFS($U$2:U131,U132,$V$2:V131,1)=0),1,0)</f>
        <v/>
      </c>
      <c r="W132" s="6">
        <f>IF(AND(U132&lt;&gt;"",COUNTIF($U$2:$U$300,U132)&gt;1),"DUPLICATE KEY","")</f>
        <v/>
      </c>
    </row>
    <row r="133">
      <c r="A133" s="6" t="n">
        <v>132</v>
      </c>
      <c r="B133" s="6" t="inlineStr">
        <is>
          <t>K Closest Points to Origin</t>
        </is>
      </c>
      <c r="C133" s="6" t="inlineStr">
        <is>
          <t>LeetCode</t>
        </is>
      </c>
      <c r="D133" s="7" t="inlineStr">
        <is>
          <t>Open</t>
        </is>
      </c>
      <c r="E133" s="6" t="inlineStr">
        <is>
          <t>Heaps &amp; priority queues</t>
        </is>
      </c>
      <c r="F133" s="6" t="inlineStr">
        <is>
          <t>Medium</t>
        </is>
      </c>
      <c r="G133" s="6" t="inlineStr">
        <is>
          <t>Essential</t>
        </is>
      </c>
      <c r="H133" s="6" t="n">
        <v>7</v>
      </c>
      <c r="I133" s="8" t="n"/>
      <c r="J133" s="9" t="inlineStr">
        <is>
          <t>Not started</t>
        </is>
      </c>
      <c r="K133" s="6">
        <f>IF(J133="Solved independently","Yes",IF(OR(J133="",J133="Not started"),"","No"))</f>
        <v/>
      </c>
      <c r="L133" s="9" t="n"/>
      <c r="M133" s="9" t="n"/>
      <c r="N133" s="9" t="n"/>
      <c r="O133" s="9" t="n"/>
      <c r="P133" s="10" t="n"/>
      <c r="Q133" s="9" t="n"/>
      <c r="R133" s="8" t="n"/>
      <c r="S133" s="11">
        <f>IF(R133="","",R133+IF(T133=0,3,IF(T133=1,7,IF(T133=2,21,45))))</f>
        <v/>
      </c>
      <c r="T133" s="9" t="n"/>
      <c r="U133" s="6">
        <f>IF(B133="","",LOWER(TRIM(B133)))</f>
        <v/>
      </c>
      <c r="V133" s="6">
        <f>IF(AND(U133&lt;&gt;"",OR(J133="Solved independently",J133="Solved with hints",J133="Solved after viewing solution"),COUNTIFS($U$2:U132,U133,$V$2:V132,1)=0),1,0)</f>
        <v/>
      </c>
      <c r="W133" s="6">
        <f>IF(AND(U133&lt;&gt;"",COUNTIF($U$2:$U$300,U133)&gt;1),"DUPLICATE KEY","")</f>
        <v/>
      </c>
    </row>
    <row r="134">
      <c r="A134" s="6" t="n">
        <v>133</v>
      </c>
      <c r="B134" s="6" t="inlineStr">
        <is>
          <t>Task Scheduler</t>
        </is>
      </c>
      <c r="C134" s="6" t="inlineStr">
        <is>
          <t>LeetCode</t>
        </is>
      </c>
      <c r="D134" s="7" t="inlineStr">
        <is>
          <t>Open</t>
        </is>
      </c>
      <c r="E134" s="6" t="inlineStr">
        <is>
          <t>Heaps &amp; priority queues</t>
        </is>
      </c>
      <c r="F134" s="6" t="inlineStr">
        <is>
          <t>Medium</t>
        </is>
      </c>
      <c r="G134" s="6" t="inlineStr">
        <is>
          <t>Recommended</t>
        </is>
      </c>
      <c r="H134" s="6" t="n">
        <v>7</v>
      </c>
      <c r="I134" s="8" t="n"/>
      <c r="J134" s="9" t="inlineStr">
        <is>
          <t>Not started</t>
        </is>
      </c>
      <c r="K134" s="6">
        <f>IF(J134="Solved independently","Yes",IF(OR(J134="",J134="Not started"),"","No"))</f>
        <v/>
      </c>
      <c r="L134" s="9" t="n"/>
      <c r="M134" s="9" t="n"/>
      <c r="N134" s="9" t="n"/>
      <c r="O134" s="9" t="n"/>
      <c r="P134" s="10" t="n"/>
      <c r="Q134" s="9" t="n"/>
      <c r="R134" s="8" t="n"/>
      <c r="S134" s="11">
        <f>IF(R134="","",R134+IF(T134=0,3,IF(T134=1,7,IF(T134=2,21,45))))</f>
        <v/>
      </c>
      <c r="T134" s="9" t="n"/>
      <c r="U134" s="6">
        <f>IF(B134="","",LOWER(TRIM(B134)))</f>
        <v/>
      </c>
      <c r="V134" s="6">
        <f>IF(AND(U134&lt;&gt;"",OR(J134="Solved independently",J134="Solved with hints",J134="Solved after viewing solution"),COUNTIFS($U$2:U133,U134,$V$2:V133,1)=0),1,0)</f>
        <v/>
      </c>
      <c r="W134" s="6">
        <f>IF(AND(U134&lt;&gt;"",COUNTIF($U$2:$U$300,U134)&gt;1),"DUPLICATE KEY","")</f>
        <v/>
      </c>
    </row>
    <row r="135">
      <c r="A135" s="6" t="n">
        <v>134</v>
      </c>
      <c r="B135" s="6" t="inlineStr">
        <is>
          <t>Merge k Sorted Lists</t>
        </is>
      </c>
      <c r="C135" s="6" t="inlineStr">
        <is>
          <t>LeetCode</t>
        </is>
      </c>
      <c r="D135" s="7" t="inlineStr">
        <is>
          <t>Open</t>
        </is>
      </c>
      <c r="E135" s="6" t="inlineStr">
        <is>
          <t>Heaps &amp; priority queues</t>
        </is>
      </c>
      <c r="F135" s="6" t="inlineStr">
        <is>
          <t>Hard</t>
        </is>
      </c>
      <c r="G135" s="6" t="inlineStr">
        <is>
          <t>Recommended</t>
        </is>
      </c>
      <c r="H135" s="6" t="n">
        <v>7</v>
      </c>
      <c r="I135" s="8" t="n"/>
      <c r="J135" s="9" t="inlineStr">
        <is>
          <t>Not started</t>
        </is>
      </c>
      <c r="K135" s="6">
        <f>IF(J135="Solved independently","Yes",IF(OR(J135="",J135="Not started"),"","No"))</f>
        <v/>
      </c>
      <c r="L135" s="9" t="n"/>
      <c r="M135" s="9" t="n"/>
      <c r="N135" s="9" t="n"/>
      <c r="O135" s="9" t="n"/>
      <c r="P135" s="10" t="n"/>
      <c r="Q135" s="9" t="n"/>
      <c r="R135" s="8" t="n"/>
      <c r="S135" s="11">
        <f>IF(R135="","",R135+IF(T135=0,3,IF(T135=1,7,IF(T135=2,21,45))))</f>
        <v/>
      </c>
      <c r="T135" s="9" t="n"/>
      <c r="U135" s="6">
        <f>IF(B135="","",LOWER(TRIM(B135)))</f>
        <v/>
      </c>
      <c r="V135" s="6">
        <f>IF(AND(U135&lt;&gt;"",OR(J135="Solved independently",J135="Solved with hints",J135="Solved after viewing solution"),COUNTIFS($U$2:U134,U135,$V$2:V134,1)=0),1,0)</f>
        <v/>
      </c>
      <c r="W135" s="6">
        <f>IF(AND(U135&lt;&gt;"",COUNTIF($U$2:$U$300,U135)&gt;1),"DUPLICATE KEY","")</f>
        <v/>
      </c>
    </row>
    <row r="136">
      <c r="A136" s="6" t="n">
        <v>135</v>
      </c>
      <c r="B136" s="6" t="inlineStr">
        <is>
          <t>Find Median from Data Stream</t>
        </is>
      </c>
      <c r="C136" s="6" t="inlineStr">
        <is>
          <t>LeetCode</t>
        </is>
      </c>
      <c r="D136" s="7" t="inlineStr">
        <is>
          <t>Open</t>
        </is>
      </c>
      <c r="E136" s="6" t="inlineStr">
        <is>
          <t>Heaps &amp; priority queues</t>
        </is>
      </c>
      <c r="F136" s="6" t="inlineStr">
        <is>
          <t>Hard</t>
        </is>
      </c>
      <c r="G136" s="6" t="inlineStr">
        <is>
          <t>Recommended</t>
        </is>
      </c>
      <c r="H136" s="6" t="n">
        <v>7</v>
      </c>
      <c r="I136" s="8" t="n"/>
      <c r="J136" s="9" t="inlineStr">
        <is>
          <t>Not started</t>
        </is>
      </c>
      <c r="K136" s="6">
        <f>IF(J136="Solved independently","Yes",IF(OR(J136="",J136="Not started"),"","No"))</f>
        <v/>
      </c>
      <c r="L136" s="9" t="n"/>
      <c r="M136" s="9" t="n"/>
      <c r="N136" s="9" t="n"/>
      <c r="O136" s="9" t="n"/>
      <c r="P136" s="10" t="n"/>
      <c r="Q136" s="9" t="n"/>
      <c r="R136" s="8" t="n"/>
      <c r="S136" s="11">
        <f>IF(R136="","",R136+IF(T136=0,3,IF(T136=1,7,IF(T136=2,21,45))))</f>
        <v/>
      </c>
      <c r="T136" s="9" t="n"/>
      <c r="U136" s="6">
        <f>IF(B136="","",LOWER(TRIM(B136)))</f>
        <v/>
      </c>
      <c r="V136" s="6">
        <f>IF(AND(U136&lt;&gt;"",OR(J136="Solved independently",J136="Solved with hints",J136="Solved after viewing solution"),COUNTIFS($U$2:U135,U136,$V$2:V135,1)=0),1,0)</f>
        <v/>
      </c>
      <c r="W136" s="6">
        <f>IF(AND(U136&lt;&gt;"",COUNTIF($U$2:$U$300,U136)&gt;1),"DUPLICATE KEY","")</f>
        <v/>
      </c>
    </row>
    <row r="137">
      <c r="A137" s="6" t="n">
        <v>136</v>
      </c>
      <c r="B137" s="6" t="inlineStr">
        <is>
          <t>Jesse and Cookies</t>
        </is>
      </c>
      <c r="C137" s="6" t="inlineStr">
        <is>
          <t>HackerRank</t>
        </is>
      </c>
      <c r="D137" s="7" t="inlineStr">
        <is>
          <t>Open</t>
        </is>
      </c>
      <c r="E137" s="6" t="inlineStr">
        <is>
          <t>Heaps &amp; priority queues</t>
        </is>
      </c>
      <c r="F137" s="6" t="inlineStr">
        <is>
          <t>Easy</t>
        </is>
      </c>
      <c r="G137" s="6" t="inlineStr">
        <is>
          <t>Optional</t>
        </is>
      </c>
      <c r="H137" s="6" t="n">
        <v>7</v>
      </c>
      <c r="I137" s="8" t="n"/>
      <c r="J137" s="9" t="inlineStr">
        <is>
          <t>Not started</t>
        </is>
      </c>
      <c r="K137" s="6">
        <f>IF(J137="Solved independently","Yes",IF(OR(J137="",J137="Not started"),"","No"))</f>
        <v/>
      </c>
      <c r="L137" s="9" t="n"/>
      <c r="M137" s="9" t="n"/>
      <c r="N137" s="9" t="n"/>
      <c r="O137" s="9" t="n"/>
      <c r="P137" s="10" t="n"/>
      <c r="Q137" s="9" t="n"/>
      <c r="R137" s="8" t="n"/>
      <c r="S137" s="11">
        <f>IF(R137="","",R137+IF(T137=0,3,IF(T137=1,7,IF(T137=2,21,45))))</f>
        <v/>
      </c>
      <c r="T137" s="9" t="n"/>
      <c r="U137" s="6">
        <f>IF(B137="","",LOWER(TRIM(B137)))</f>
        <v/>
      </c>
      <c r="V137" s="6">
        <f>IF(AND(U137&lt;&gt;"",OR(J137="Solved independently",J137="Solved with hints",J137="Solved after viewing solution"),COUNTIFS($U$2:U136,U137,$V$2:V136,1)=0),1,0)</f>
        <v/>
      </c>
      <c r="W137" s="6">
        <f>IF(AND(U137&lt;&gt;"",COUNTIF($U$2:$U$300,U137)&gt;1),"DUPLICATE KEY","")</f>
        <v/>
      </c>
    </row>
    <row r="138">
      <c r="A138" s="6" t="n">
        <v>137</v>
      </c>
      <c r="B138" s="6" t="inlineStr">
        <is>
          <t>Assign Cookies</t>
        </is>
      </c>
      <c r="C138" s="6" t="inlineStr">
        <is>
          <t>LeetCode</t>
        </is>
      </c>
      <c r="D138" s="7" t="inlineStr">
        <is>
          <t>Open</t>
        </is>
      </c>
      <c r="E138" s="6" t="inlineStr">
        <is>
          <t>Greedy algorithms &amp; intervals</t>
        </is>
      </c>
      <c r="F138" s="6" t="inlineStr">
        <is>
          <t>Easy</t>
        </is>
      </c>
      <c r="G138" s="6" t="inlineStr">
        <is>
          <t>Essential</t>
        </is>
      </c>
      <c r="H138" s="6" t="n">
        <v>7</v>
      </c>
      <c r="I138" s="8" t="n"/>
      <c r="J138" s="9" t="inlineStr">
        <is>
          <t>Not started</t>
        </is>
      </c>
      <c r="K138" s="6">
        <f>IF(J138="Solved independently","Yes",IF(OR(J138="",J138="Not started"),"","No"))</f>
        <v/>
      </c>
      <c r="L138" s="9" t="n"/>
      <c r="M138" s="9" t="n"/>
      <c r="N138" s="9" t="n"/>
      <c r="O138" s="9" t="n"/>
      <c r="P138" s="10" t="n"/>
      <c r="Q138" s="9" t="n"/>
      <c r="R138" s="8" t="n"/>
      <c r="S138" s="11">
        <f>IF(R138="","",R138+IF(T138=0,3,IF(T138=1,7,IF(T138=2,21,45))))</f>
        <v/>
      </c>
      <c r="T138" s="9" t="n"/>
      <c r="U138" s="6">
        <f>IF(B138="","",LOWER(TRIM(B138)))</f>
        <v/>
      </c>
      <c r="V138" s="6">
        <f>IF(AND(U138&lt;&gt;"",OR(J138="Solved independently",J138="Solved with hints",J138="Solved after viewing solution"),COUNTIFS($U$2:U137,U138,$V$2:V137,1)=0),1,0)</f>
        <v/>
      </c>
      <c r="W138" s="6">
        <f>IF(AND(U138&lt;&gt;"",COUNTIF($U$2:$U$300,U138)&gt;1),"DUPLICATE KEY","")</f>
        <v/>
      </c>
    </row>
    <row r="139">
      <c r="A139" s="6" t="n">
        <v>138</v>
      </c>
      <c r="B139" s="6" t="inlineStr">
        <is>
          <t>Jump Game</t>
        </is>
      </c>
      <c r="C139" s="6" t="inlineStr">
        <is>
          <t>LeetCode</t>
        </is>
      </c>
      <c r="D139" s="7" t="inlineStr">
        <is>
          <t>Open</t>
        </is>
      </c>
      <c r="E139" s="6" t="inlineStr">
        <is>
          <t>Greedy algorithms &amp; intervals</t>
        </is>
      </c>
      <c r="F139" s="6" t="inlineStr">
        <is>
          <t>Medium</t>
        </is>
      </c>
      <c r="G139" s="6" t="inlineStr">
        <is>
          <t>Essential</t>
        </is>
      </c>
      <c r="H139" s="6" t="n">
        <v>7</v>
      </c>
      <c r="I139" s="8" t="n"/>
      <c r="J139" s="9" t="inlineStr">
        <is>
          <t>Not started</t>
        </is>
      </c>
      <c r="K139" s="6">
        <f>IF(J139="Solved independently","Yes",IF(OR(J139="",J139="Not started"),"","No"))</f>
        <v/>
      </c>
      <c r="L139" s="9" t="n"/>
      <c r="M139" s="9" t="n"/>
      <c r="N139" s="9" t="n"/>
      <c r="O139" s="9" t="n"/>
      <c r="P139" s="10" t="n"/>
      <c r="Q139" s="9" t="n"/>
      <c r="R139" s="8" t="n"/>
      <c r="S139" s="11">
        <f>IF(R139="","",R139+IF(T139=0,3,IF(T139=1,7,IF(T139=2,21,45))))</f>
        <v/>
      </c>
      <c r="T139" s="9" t="n"/>
      <c r="U139" s="6">
        <f>IF(B139="","",LOWER(TRIM(B139)))</f>
        <v/>
      </c>
      <c r="V139" s="6">
        <f>IF(AND(U139&lt;&gt;"",OR(J139="Solved independently",J139="Solved with hints",J139="Solved after viewing solution"),COUNTIFS($U$2:U138,U139,$V$2:V138,1)=0),1,0)</f>
        <v/>
      </c>
      <c r="W139" s="6">
        <f>IF(AND(U139&lt;&gt;"",COUNTIF($U$2:$U$300,U139)&gt;1),"DUPLICATE KEY","")</f>
        <v/>
      </c>
    </row>
    <row r="140">
      <c r="A140" s="6" t="n">
        <v>139</v>
      </c>
      <c r="B140" s="6" t="inlineStr">
        <is>
          <t>Jump Game II</t>
        </is>
      </c>
      <c r="C140" s="6" t="inlineStr">
        <is>
          <t>LeetCode</t>
        </is>
      </c>
      <c r="D140" s="7" t="inlineStr">
        <is>
          <t>Open</t>
        </is>
      </c>
      <c r="E140" s="6" t="inlineStr">
        <is>
          <t>Greedy algorithms &amp; intervals</t>
        </is>
      </c>
      <c r="F140" s="6" t="inlineStr">
        <is>
          <t>Medium</t>
        </is>
      </c>
      <c r="G140" s="6" t="inlineStr">
        <is>
          <t>Recommended</t>
        </is>
      </c>
      <c r="H140" s="6" t="n">
        <v>7</v>
      </c>
      <c r="I140" s="8" t="n"/>
      <c r="J140" s="9" t="inlineStr">
        <is>
          <t>Not started</t>
        </is>
      </c>
      <c r="K140" s="6">
        <f>IF(J140="Solved independently","Yes",IF(OR(J140="",J140="Not started"),"","No"))</f>
        <v/>
      </c>
      <c r="L140" s="9" t="n"/>
      <c r="M140" s="9" t="n"/>
      <c r="N140" s="9" t="n"/>
      <c r="O140" s="9" t="n"/>
      <c r="P140" s="10" t="n"/>
      <c r="Q140" s="9" t="n"/>
      <c r="R140" s="8" t="n"/>
      <c r="S140" s="11">
        <f>IF(R140="","",R140+IF(T140=0,3,IF(T140=1,7,IF(T140=2,21,45))))</f>
        <v/>
      </c>
      <c r="T140" s="9" t="n"/>
      <c r="U140" s="6">
        <f>IF(B140="","",LOWER(TRIM(B140)))</f>
        <v/>
      </c>
      <c r="V140" s="6">
        <f>IF(AND(U140&lt;&gt;"",OR(J140="Solved independently",J140="Solved with hints",J140="Solved after viewing solution"),COUNTIFS($U$2:U139,U140,$V$2:V139,1)=0),1,0)</f>
        <v/>
      </c>
      <c r="W140" s="6">
        <f>IF(AND(U140&lt;&gt;"",COUNTIF($U$2:$U$300,U140)&gt;1),"DUPLICATE KEY","")</f>
        <v/>
      </c>
    </row>
    <row r="141">
      <c r="A141" s="6" t="n">
        <v>140</v>
      </c>
      <c r="B141" s="6" t="inlineStr">
        <is>
          <t>Gas Station</t>
        </is>
      </c>
      <c r="C141" s="6" t="inlineStr">
        <is>
          <t>LeetCode</t>
        </is>
      </c>
      <c r="D141" s="7" t="inlineStr">
        <is>
          <t>Open</t>
        </is>
      </c>
      <c r="E141" s="6" t="inlineStr">
        <is>
          <t>Greedy algorithms &amp; intervals</t>
        </is>
      </c>
      <c r="F141" s="6" t="inlineStr">
        <is>
          <t>Medium</t>
        </is>
      </c>
      <c r="G141" s="6" t="inlineStr">
        <is>
          <t>Recommended</t>
        </is>
      </c>
      <c r="H141" s="6" t="n">
        <v>7</v>
      </c>
      <c r="I141" s="8" t="n"/>
      <c r="J141" s="9" t="inlineStr">
        <is>
          <t>Not started</t>
        </is>
      </c>
      <c r="K141" s="6">
        <f>IF(J141="Solved independently","Yes",IF(OR(J141="",J141="Not started"),"","No"))</f>
        <v/>
      </c>
      <c r="L141" s="9" t="n"/>
      <c r="M141" s="9" t="n"/>
      <c r="N141" s="9" t="n"/>
      <c r="O141" s="9" t="n"/>
      <c r="P141" s="10" t="n"/>
      <c r="Q141" s="9" t="n"/>
      <c r="R141" s="8" t="n"/>
      <c r="S141" s="11">
        <f>IF(R141="","",R141+IF(T141=0,3,IF(T141=1,7,IF(T141=2,21,45))))</f>
        <v/>
      </c>
      <c r="T141" s="9" t="n"/>
      <c r="U141" s="6">
        <f>IF(B141="","",LOWER(TRIM(B141)))</f>
        <v/>
      </c>
      <c r="V141" s="6">
        <f>IF(AND(U141&lt;&gt;"",OR(J141="Solved independently",J141="Solved with hints",J141="Solved after viewing solution"),COUNTIFS($U$2:U140,U141,$V$2:V140,1)=0),1,0)</f>
        <v/>
      </c>
      <c r="W141" s="6">
        <f>IF(AND(U141&lt;&gt;"",COUNTIF($U$2:$U$300,U141)&gt;1),"DUPLICATE KEY","")</f>
        <v/>
      </c>
    </row>
    <row r="142">
      <c r="A142" s="6" t="n">
        <v>141</v>
      </c>
      <c r="B142" s="6" t="inlineStr">
        <is>
          <t>Non-overlapping Intervals</t>
        </is>
      </c>
      <c r="C142" s="6" t="inlineStr">
        <is>
          <t>LeetCode</t>
        </is>
      </c>
      <c r="D142" s="7" t="inlineStr">
        <is>
          <t>Open</t>
        </is>
      </c>
      <c r="E142" s="6" t="inlineStr">
        <is>
          <t>Greedy algorithms &amp; intervals</t>
        </is>
      </c>
      <c r="F142" s="6" t="inlineStr">
        <is>
          <t>Medium</t>
        </is>
      </c>
      <c r="G142" s="6" t="inlineStr">
        <is>
          <t>Essential</t>
        </is>
      </c>
      <c r="H142" s="6" t="n">
        <v>7</v>
      </c>
      <c r="I142" s="8" t="n"/>
      <c r="J142" s="9" t="inlineStr">
        <is>
          <t>Not started</t>
        </is>
      </c>
      <c r="K142" s="6">
        <f>IF(J142="Solved independently","Yes",IF(OR(J142="",J142="Not started"),"","No"))</f>
        <v/>
      </c>
      <c r="L142" s="9" t="n"/>
      <c r="M142" s="9" t="n"/>
      <c r="N142" s="9" t="n"/>
      <c r="O142" s="9" t="n"/>
      <c r="P142" s="10" t="n"/>
      <c r="Q142" s="9" t="n"/>
      <c r="R142" s="8" t="n"/>
      <c r="S142" s="11">
        <f>IF(R142="","",R142+IF(T142=0,3,IF(T142=1,7,IF(T142=2,21,45))))</f>
        <v/>
      </c>
      <c r="T142" s="9" t="n"/>
      <c r="U142" s="6">
        <f>IF(B142="","",LOWER(TRIM(B142)))</f>
        <v/>
      </c>
      <c r="V142" s="6">
        <f>IF(AND(U142&lt;&gt;"",OR(J142="Solved independently",J142="Solved with hints",J142="Solved after viewing solution"),COUNTIFS($U$2:U141,U142,$V$2:V141,1)=0),1,0)</f>
        <v/>
      </c>
      <c r="W142" s="6">
        <f>IF(AND(U142&lt;&gt;"",COUNTIF($U$2:$U$300,U142)&gt;1),"DUPLICATE KEY","")</f>
        <v/>
      </c>
    </row>
    <row r="143">
      <c r="A143" s="6" t="n">
        <v>142</v>
      </c>
      <c r="B143" s="6" t="inlineStr">
        <is>
          <t>Partition Labels</t>
        </is>
      </c>
      <c r="C143" s="6" t="inlineStr">
        <is>
          <t>LeetCode</t>
        </is>
      </c>
      <c r="D143" s="7" t="inlineStr">
        <is>
          <t>Open</t>
        </is>
      </c>
      <c r="E143" s="6" t="inlineStr">
        <is>
          <t>Greedy algorithms &amp; intervals</t>
        </is>
      </c>
      <c r="F143" s="6" t="inlineStr">
        <is>
          <t>Medium</t>
        </is>
      </c>
      <c r="G143" s="6" t="inlineStr">
        <is>
          <t>Recommended</t>
        </is>
      </c>
      <c r="H143" s="6" t="n">
        <v>7</v>
      </c>
      <c r="I143" s="8" t="n"/>
      <c r="J143" s="9" t="inlineStr">
        <is>
          <t>Not started</t>
        </is>
      </c>
      <c r="K143" s="6">
        <f>IF(J143="Solved independently","Yes",IF(OR(J143="",J143="Not started"),"","No"))</f>
        <v/>
      </c>
      <c r="L143" s="9" t="n"/>
      <c r="M143" s="9" t="n"/>
      <c r="N143" s="9" t="n"/>
      <c r="O143" s="9" t="n"/>
      <c r="P143" s="10" t="n"/>
      <c r="Q143" s="9" t="n"/>
      <c r="R143" s="8" t="n"/>
      <c r="S143" s="11">
        <f>IF(R143="","",R143+IF(T143=0,3,IF(T143=1,7,IF(T143=2,21,45))))</f>
        <v/>
      </c>
      <c r="T143" s="9" t="n"/>
      <c r="U143" s="6">
        <f>IF(B143="","",LOWER(TRIM(B143)))</f>
        <v/>
      </c>
      <c r="V143" s="6">
        <f>IF(AND(U143&lt;&gt;"",OR(J143="Solved independently",J143="Solved with hints",J143="Solved after viewing solution"),COUNTIFS($U$2:U142,U143,$V$2:V142,1)=0),1,0)</f>
        <v/>
      </c>
      <c r="W143" s="6">
        <f>IF(AND(U143&lt;&gt;"",COUNTIF($U$2:$U$300,U143)&gt;1),"DUPLICATE KEY","")</f>
        <v/>
      </c>
    </row>
    <row r="144">
      <c r="A144" s="6" t="n">
        <v>143</v>
      </c>
      <c r="B144" s="6" t="inlineStr">
        <is>
          <t>Climbing the Leaderboard</t>
        </is>
      </c>
      <c r="C144" s="6" t="inlineStr">
        <is>
          <t>HackerRank</t>
        </is>
      </c>
      <c r="D144" s="7" t="inlineStr">
        <is>
          <t>Open</t>
        </is>
      </c>
      <c r="E144" s="6" t="inlineStr">
        <is>
          <t>Greedy algorithms &amp; intervals</t>
        </is>
      </c>
      <c r="F144" s="6" t="inlineStr">
        <is>
          <t>Medium</t>
        </is>
      </c>
      <c r="G144" s="6" t="inlineStr">
        <is>
          <t>Optional</t>
        </is>
      </c>
      <c r="H144" s="6" t="n">
        <v>7</v>
      </c>
      <c r="I144" s="8" t="n"/>
      <c r="J144" s="9" t="inlineStr">
        <is>
          <t>Not started</t>
        </is>
      </c>
      <c r="K144" s="6">
        <f>IF(J144="Solved independently","Yes",IF(OR(J144="",J144="Not started"),"","No"))</f>
        <v/>
      </c>
      <c r="L144" s="9" t="n"/>
      <c r="M144" s="9" t="n"/>
      <c r="N144" s="9" t="n"/>
      <c r="O144" s="9" t="n"/>
      <c r="P144" s="10" t="n"/>
      <c r="Q144" s="9" t="n"/>
      <c r="R144" s="8" t="n"/>
      <c r="S144" s="11">
        <f>IF(R144="","",R144+IF(T144=0,3,IF(T144=1,7,IF(T144=2,21,45))))</f>
        <v/>
      </c>
      <c r="T144" s="9" t="n"/>
      <c r="U144" s="6">
        <f>IF(B144="","",LOWER(TRIM(B144)))</f>
        <v/>
      </c>
      <c r="V144" s="6">
        <f>IF(AND(U144&lt;&gt;"",OR(J144="Solved independently",J144="Solved with hints",J144="Solved after viewing solution"),COUNTIFS($U$2:U143,U144,$V$2:V143,1)=0),1,0)</f>
        <v/>
      </c>
      <c r="W144" s="6">
        <f>IF(AND(U144&lt;&gt;"",COUNTIF($U$2:$U$300,U144)&gt;1),"DUPLICATE KEY","")</f>
        <v/>
      </c>
    </row>
    <row r="145">
      <c r="A145" s="6" t="n">
        <v>144</v>
      </c>
      <c r="B145" s="6" t="inlineStr">
        <is>
          <t>Flood Fill</t>
        </is>
      </c>
      <c r="C145" s="6" t="inlineStr">
        <is>
          <t>LeetCode</t>
        </is>
      </c>
      <c r="D145" s="7" t="inlineStr">
        <is>
          <t>Open</t>
        </is>
      </c>
      <c r="E145" s="6" t="inlineStr">
        <is>
          <t>Graphs: BFS, DFS &amp; shortest paths</t>
        </is>
      </c>
      <c r="F145" s="6" t="inlineStr">
        <is>
          <t>Easy</t>
        </is>
      </c>
      <c r="G145" s="6" t="inlineStr">
        <is>
          <t>Essential</t>
        </is>
      </c>
      <c r="H145" s="6" t="n">
        <v>8</v>
      </c>
      <c r="I145" s="8" t="n"/>
      <c r="J145" s="9" t="inlineStr">
        <is>
          <t>Not started</t>
        </is>
      </c>
      <c r="K145" s="6">
        <f>IF(J145="Solved independently","Yes",IF(OR(J145="",J145="Not started"),"","No"))</f>
        <v/>
      </c>
      <c r="L145" s="9" t="n"/>
      <c r="M145" s="9" t="n"/>
      <c r="N145" s="9" t="n"/>
      <c r="O145" s="9" t="n"/>
      <c r="P145" s="10" t="n"/>
      <c r="Q145" s="9" t="n"/>
      <c r="R145" s="8" t="n"/>
      <c r="S145" s="11">
        <f>IF(R145="","",R145+IF(T145=0,3,IF(T145=1,7,IF(T145=2,21,45))))</f>
        <v/>
      </c>
      <c r="T145" s="9" t="n"/>
      <c r="U145" s="6">
        <f>IF(B145="","",LOWER(TRIM(B145)))</f>
        <v/>
      </c>
      <c r="V145" s="6">
        <f>IF(AND(U145&lt;&gt;"",OR(J145="Solved independently",J145="Solved with hints",J145="Solved after viewing solution"),COUNTIFS($U$2:U144,U145,$V$2:V144,1)=0),1,0)</f>
        <v/>
      </c>
      <c r="W145" s="6">
        <f>IF(AND(U145&lt;&gt;"",COUNTIF($U$2:$U$300,U145)&gt;1),"DUPLICATE KEY","")</f>
        <v/>
      </c>
    </row>
    <row r="146">
      <c r="A146" s="6" t="n">
        <v>145</v>
      </c>
      <c r="B146" s="6" t="inlineStr">
        <is>
          <t>Find if Path Exists in Graph</t>
        </is>
      </c>
      <c r="C146" s="6" t="inlineStr">
        <is>
          <t>LeetCode</t>
        </is>
      </c>
      <c r="D146" s="7" t="inlineStr">
        <is>
          <t>Open</t>
        </is>
      </c>
      <c r="E146" s="6" t="inlineStr">
        <is>
          <t>Graphs: BFS, DFS &amp; shortest paths</t>
        </is>
      </c>
      <c r="F146" s="6" t="inlineStr">
        <is>
          <t>Easy</t>
        </is>
      </c>
      <c r="G146" s="6" t="inlineStr">
        <is>
          <t>Recommended</t>
        </is>
      </c>
      <c r="H146" s="6" t="n">
        <v>8</v>
      </c>
      <c r="I146" s="8" t="n"/>
      <c r="J146" s="9" t="inlineStr">
        <is>
          <t>Not started</t>
        </is>
      </c>
      <c r="K146" s="6">
        <f>IF(J146="Solved independently","Yes",IF(OR(J146="",J146="Not started"),"","No"))</f>
        <v/>
      </c>
      <c r="L146" s="9" t="n"/>
      <c r="M146" s="9" t="n"/>
      <c r="N146" s="9" t="n"/>
      <c r="O146" s="9" t="n"/>
      <c r="P146" s="10" t="n"/>
      <c r="Q146" s="9" t="n"/>
      <c r="R146" s="8" t="n"/>
      <c r="S146" s="11">
        <f>IF(R146="","",R146+IF(T146=0,3,IF(T146=1,7,IF(T146=2,21,45))))</f>
        <v/>
      </c>
      <c r="T146" s="9" t="n"/>
      <c r="U146" s="6">
        <f>IF(B146="","",LOWER(TRIM(B146)))</f>
        <v/>
      </c>
      <c r="V146" s="6">
        <f>IF(AND(U146&lt;&gt;"",OR(J146="Solved independently",J146="Solved with hints",J146="Solved after viewing solution"),COUNTIFS($U$2:U145,U146,$V$2:V145,1)=0),1,0)</f>
        <v/>
      </c>
      <c r="W146" s="6">
        <f>IF(AND(U146&lt;&gt;"",COUNTIF($U$2:$U$300,U146)&gt;1),"DUPLICATE KEY","")</f>
        <v/>
      </c>
    </row>
    <row r="147">
      <c r="A147" s="6" t="n">
        <v>146</v>
      </c>
      <c r="B147" s="6" t="inlineStr">
        <is>
          <t>Number of Islands</t>
        </is>
      </c>
      <c r="C147" s="6" t="inlineStr">
        <is>
          <t>LeetCode</t>
        </is>
      </c>
      <c r="D147" s="7" t="inlineStr">
        <is>
          <t>Open</t>
        </is>
      </c>
      <c r="E147" s="6" t="inlineStr">
        <is>
          <t>Graphs: BFS, DFS &amp; shortest paths</t>
        </is>
      </c>
      <c r="F147" s="6" t="inlineStr">
        <is>
          <t>Medium</t>
        </is>
      </c>
      <c r="G147" s="6" t="inlineStr">
        <is>
          <t>Essential</t>
        </is>
      </c>
      <c r="H147" s="6" t="n">
        <v>8</v>
      </c>
      <c r="I147" s="8" t="n"/>
      <c r="J147" s="9" t="inlineStr">
        <is>
          <t>Not started</t>
        </is>
      </c>
      <c r="K147" s="6">
        <f>IF(J147="Solved independently","Yes",IF(OR(J147="",J147="Not started"),"","No"))</f>
        <v/>
      </c>
      <c r="L147" s="9" t="n"/>
      <c r="M147" s="9" t="n"/>
      <c r="N147" s="9" t="n"/>
      <c r="O147" s="9" t="n"/>
      <c r="P147" s="10" t="n"/>
      <c r="Q147" s="9" t="n"/>
      <c r="R147" s="8" t="n"/>
      <c r="S147" s="11">
        <f>IF(R147="","",R147+IF(T147=0,3,IF(T147=1,7,IF(T147=2,21,45))))</f>
        <v/>
      </c>
      <c r="T147" s="9" t="n"/>
      <c r="U147" s="6">
        <f>IF(B147="","",LOWER(TRIM(B147)))</f>
        <v/>
      </c>
      <c r="V147" s="6">
        <f>IF(AND(U147&lt;&gt;"",OR(J147="Solved independently",J147="Solved with hints",J147="Solved after viewing solution"),COUNTIFS($U$2:U146,U147,$V$2:V146,1)=0),1,0)</f>
        <v/>
      </c>
      <c r="W147" s="6">
        <f>IF(AND(U147&lt;&gt;"",COUNTIF($U$2:$U$300,U147)&gt;1),"DUPLICATE KEY","")</f>
        <v/>
      </c>
    </row>
    <row r="148">
      <c r="A148" s="6" t="n">
        <v>147</v>
      </c>
      <c r="B148" s="6" t="inlineStr">
        <is>
          <t>Max Area of Island</t>
        </is>
      </c>
      <c r="C148" s="6" t="inlineStr">
        <is>
          <t>LeetCode</t>
        </is>
      </c>
      <c r="D148" s="7" t="inlineStr">
        <is>
          <t>Open</t>
        </is>
      </c>
      <c r="E148" s="6" t="inlineStr">
        <is>
          <t>Graphs: BFS, DFS &amp; shortest paths</t>
        </is>
      </c>
      <c r="F148" s="6" t="inlineStr">
        <is>
          <t>Medium</t>
        </is>
      </c>
      <c r="G148" s="6" t="inlineStr">
        <is>
          <t>Recommended</t>
        </is>
      </c>
      <c r="H148" s="6" t="n">
        <v>8</v>
      </c>
      <c r="I148" s="8" t="n"/>
      <c r="J148" s="9" t="inlineStr">
        <is>
          <t>Not started</t>
        </is>
      </c>
      <c r="K148" s="6">
        <f>IF(J148="Solved independently","Yes",IF(OR(J148="",J148="Not started"),"","No"))</f>
        <v/>
      </c>
      <c r="L148" s="9" t="n"/>
      <c r="M148" s="9" t="n"/>
      <c r="N148" s="9" t="n"/>
      <c r="O148" s="9" t="n"/>
      <c r="P148" s="10" t="n"/>
      <c r="Q148" s="9" t="n"/>
      <c r="R148" s="8" t="n"/>
      <c r="S148" s="11">
        <f>IF(R148="","",R148+IF(T148=0,3,IF(T148=1,7,IF(T148=2,21,45))))</f>
        <v/>
      </c>
      <c r="T148" s="9" t="n"/>
      <c r="U148" s="6">
        <f>IF(B148="","",LOWER(TRIM(B148)))</f>
        <v/>
      </c>
      <c r="V148" s="6">
        <f>IF(AND(U148&lt;&gt;"",OR(J148="Solved independently",J148="Solved with hints",J148="Solved after viewing solution"),COUNTIFS($U$2:U147,U148,$V$2:V147,1)=0),1,0)</f>
        <v/>
      </c>
      <c r="W148" s="6">
        <f>IF(AND(U148&lt;&gt;"",COUNTIF($U$2:$U$300,U148)&gt;1),"DUPLICATE KEY","")</f>
        <v/>
      </c>
    </row>
    <row r="149">
      <c r="A149" s="6" t="n">
        <v>148</v>
      </c>
      <c r="B149" s="6" t="inlineStr">
        <is>
          <t>Number of Provinces</t>
        </is>
      </c>
      <c r="C149" s="6" t="inlineStr">
        <is>
          <t>LeetCode</t>
        </is>
      </c>
      <c r="D149" s="7" t="inlineStr">
        <is>
          <t>Open</t>
        </is>
      </c>
      <c r="E149" s="6" t="inlineStr">
        <is>
          <t>Graphs: BFS, DFS &amp; shortest paths</t>
        </is>
      </c>
      <c r="F149" s="6" t="inlineStr">
        <is>
          <t>Medium</t>
        </is>
      </c>
      <c r="G149" s="6" t="inlineStr">
        <is>
          <t>Recommended</t>
        </is>
      </c>
      <c r="H149" s="6" t="n">
        <v>8</v>
      </c>
      <c r="I149" s="8" t="n"/>
      <c r="J149" s="9" t="inlineStr">
        <is>
          <t>Not started</t>
        </is>
      </c>
      <c r="K149" s="6">
        <f>IF(J149="Solved independently","Yes",IF(OR(J149="",J149="Not started"),"","No"))</f>
        <v/>
      </c>
      <c r="L149" s="9" t="n"/>
      <c r="M149" s="9" t="n"/>
      <c r="N149" s="9" t="n"/>
      <c r="O149" s="9" t="n"/>
      <c r="P149" s="10" t="n"/>
      <c r="Q149" s="9" t="n"/>
      <c r="R149" s="8" t="n"/>
      <c r="S149" s="11">
        <f>IF(R149="","",R149+IF(T149=0,3,IF(T149=1,7,IF(T149=2,21,45))))</f>
        <v/>
      </c>
      <c r="T149" s="9" t="n"/>
      <c r="U149" s="6">
        <f>IF(B149="","",LOWER(TRIM(B149)))</f>
        <v/>
      </c>
      <c r="V149" s="6">
        <f>IF(AND(U149&lt;&gt;"",OR(J149="Solved independently",J149="Solved with hints",J149="Solved after viewing solution"),COUNTIFS($U$2:U148,U149,$V$2:V148,1)=0),1,0)</f>
        <v/>
      </c>
      <c r="W149" s="6">
        <f>IF(AND(U149&lt;&gt;"",COUNTIF($U$2:$U$300,U149)&gt;1),"DUPLICATE KEY","")</f>
        <v/>
      </c>
    </row>
    <row r="150">
      <c r="A150" s="6" t="n">
        <v>149</v>
      </c>
      <c r="B150" s="6" t="inlineStr">
        <is>
          <t>Clone Graph</t>
        </is>
      </c>
      <c r="C150" s="6" t="inlineStr">
        <is>
          <t>LeetCode</t>
        </is>
      </c>
      <c r="D150" s="7" t="inlineStr">
        <is>
          <t>Open</t>
        </is>
      </c>
      <c r="E150" s="6" t="inlineStr">
        <is>
          <t>Graphs: BFS, DFS &amp; shortest paths</t>
        </is>
      </c>
      <c r="F150" s="6" t="inlineStr">
        <is>
          <t>Medium</t>
        </is>
      </c>
      <c r="G150" s="6" t="inlineStr">
        <is>
          <t>Essential</t>
        </is>
      </c>
      <c r="H150" s="6" t="n">
        <v>8</v>
      </c>
      <c r="I150" s="8" t="n"/>
      <c r="J150" s="9" t="inlineStr">
        <is>
          <t>Not started</t>
        </is>
      </c>
      <c r="K150" s="6">
        <f>IF(J150="Solved independently","Yes",IF(OR(J150="",J150="Not started"),"","No"))</f>
        <v/>
      </c>
      <c r="L150" s="9" t="n"/>
      <c r="M150" s="9" t="n"/>
      <c r="N150" s="9" t="n"/>
      <c r="O150" s="9" t="n"/>
      <c r="P150" s="10" t="n"/>
      <c r="Q150" s="9" t="n"/>
      <c r="R150" s="8" t="n"/>
      <c r="S150" s="11">
        <f>IF(R150="","",R150+IF(T150=0,3,IF(T150=1,7,IF(T150=2,21,45))))</f>
        <v/>
      </c>
      <c r="T150" s="9" t="n"/>
      <c r="U150" s="6">
        <f>IF(B150="","",LOWER(TRIM(B150)))</f>
        <v/>
      </c>
      <c r="V150" s="6">
        <f>IF(AND(U150&lt;&gt;"",OR(J150="Solved independently",J150="Solved with hints",J150="Solved after viewing solution"),COUNTIFS($U$2:U149,U150,$V$2:V149,1)=0),1,0)</f>
        <v/>
      </c>
      <c r="W150" s="6">
        <f>IF(AND(U150&lt;&gt;"",COUNTIF($U$2:$U$300,U150)&gt;1),"DUPLICATE KEY","")</f>
        <v/>
      </c>
    </row>
    <row r="151">
      <c r="A151" s="6" t="n">
        <v>150</v>
      </c>
      <c r="B151" s="6" t="inlineStr">
        <is>
          <t>Rotting Oranges</t>
        </is>
      </c>
      <c r="C151" s="6" t="inlineStr">
        <is>
          <t>LeetCode</t>
        </is>
      </c>
      <c r="D151" s="7" t="inlineStr">
        <is>
          <t>Open</t>
        </is>
      </c>
      <c r="E151" s="6" t="inlineStr">
        <is>
          <t>Graphs: BFS, DFS &amp; shortest paths</t>
        </is>
      </c>
      <c r="F151" s="6" t="inlineStr">
        <is>
          <t>Medium</t>
        </is>
      </c>
      <c r="G151" s="6" t="inlineStr">
        <is>
          <t>Essential</t>
        </is>
      </c>
      <c r="H151" s="6" t="n">
        <v>8</v>
      </c>
      <c r="I151" s="8" t="n"/>
      <c r="J151" s="9" t="inlineStr">
        <is>
          <t>Not started</t>
        </is>
      </c>
      <c r="K151" s="6">
        <f>IF(J151="Solved independently","Yes",IF(OR(J151="",J151="Not started"),"","No"))</f>
        <v/>
      </c>
      <c r="L151" s="9" t="n"/>
      <c r="M151" s="9" t="n"/>
      <c r="N151" s="9" t="n"/>
      <c r="O151" s="9" t="n"/>
      <c r="P151" s="10" t="n"/>
      <c r="Q151" s="9" t="n"/>
      <c r="R151" s="8" t="n"/>
      <c r="S151" s="11">
        <f>IF(R151="","",R151+IF(T151=0,3,IF(T151=1,7,IF(T151=2,21,45))))</f>
        <v/>
      </c>
      <c r="T151" s="9" t="n"/>
      <c r="U151" s="6">
        <f>IF(B151="","",LOWER(TRIM(B151)))</f>
        <v/>
      </c>
      <c r="V151" s="6">
        <f>IF(AND(U151&lt;&gt;"",OR(J151="Solved independently",J151="Solved with hints",J151="Solved after viewing solution"),COUNTIFS($U$2:U150,U151,$V$2:V150,1)=0),1,0)</f>
        <v/>
      </c>
      <c r="W151" s="6">
        <f>IF(AND(U151&lt;&gt;"",COUNTIF($U$2:$U$300,U151)&gt;1),"DUPLICATE KEY","")</f>
        <v/>
      </c>
    </row>
    <row r="152">
      <c r="A152" s="6" t="n">
        <v>151</v>
      </c>
      <c r="B152" s="6" t="inlineStr">
        <is>
          <t>Pacific Atlantic Water Flow</t>
        </is>
      </c>
      <c r="C152" s="6" t="inlineStr">
        <is>
          <t>LeetCode</t>
        </is>
      </c>
      <c r="D152" s="7" t="inlineStr">
        <is>
          <t>Open</t>
        </is>
      </c>
      <c r="E152" s="6" t="inlineStr">
        <is>
          <t>Graphs: BFS, DFS &amp; shortest paths</t>
        </is>
      </c>
      <c r="F152" s="6" t="inlineStr">
        <is>
          <t>Medium</t>
        </is>
      </c>
      <c r="G152" s="6" t="inlineStr">
        <is>
          <t>Optional</t>
        </is>
      </c>
      <c r="H152" s="6" t="n">
        <v>8</v>
      </c>
      <c r="I152" s="8" t="n"/>
      <c r="J152" s="9" t="inlineStr">
        <is>
          <t>Not started</t>
        </is>
      </c>
      <c r="K152" s="6">
        <f>IF(J152="Solved independently","Yes",IF(OR(J152="",J152="Not started"),"","No"))</f>
        <v/>
      </c>
      <c r="L152" s="9" t="n"/>
      <c r="M152" s="9" t="n"/>
      <c r="N152" s="9" t="n"/>
      <c r="O152" s="9" t="n"/>
      <c r="P152" s="10" t="n"/>
      <c r="Q152" s="9" t="n"/>
      <c r="R152" s="8" t="n"/>
      <c r="S152" s="11">
        <f>IF(R152="","",R152+IF(T152=0,3,IF(T152=1,7,IF(T152=2,21,45))))</f>
        <v/>
      </c>
      <c r="T152" s="9" t="n"/>
      <c r="U152" s="6">
        <f>IF(B152="","",LOWER(TRIM(B152)))</f>
        <v/>
      </c>
      <c r="V152" s="6">
        <f>IF(AND(U152&lt;&gt;"",OR(J152="Solved independently",J152="Solved with hints",J152="Solved after viewing solution"),COUNTIFS($U$2:U151,U152,$V$2:V151,1)=0),1,0)</f>
        <v/>
      </c>
      <c r="W152" s="6">
        <f>IF(AND(U152&lt;&gt;"",COUNTIF($U$2:$U$300,U152)&gt;1),"DUPLICATE KEY","")</f>
        <v/>
      </c>
    </row>
    <row r="153">
      <c r="A153" s="6" t="n">
        <v>152</v>
      </c>
      <c r="B153" s="6" t="inlineStr">
        <is>
          <t>Surrounded Regions</t>
        </is>
      </c>
      <c r="C153" s="6" t="inlineStr">
        <is>
          <t>LeetCode</t>
        </is>
      </c>
      <c r="D153" s="7" t="inlineStr">
        <is>
          <t>Open</t>
        </is>
      </c>
      <c r="E153" s="6" t="inlineStr">
        <is>
          <t>Graphs: BFS, DFS &amp; shortest paths</t>
        </is>
      </c>
      <c r="F153" s="6" t="inlineStr">
        <is>
          <t>Medium</t>
        </is>
      </c>
      <c r="G153" s="6" t="inlineStr">
        <is>
          <t>Optional</t>
        </is>
      </c>
      <c r="H153" s="6" t="n">
        <v>8</v>
      </c>
      <c r="I153" s="8" t="n"/>
      <c r="J153" s="9" t="inlineStr">
        <is>
          <t>Not started</t>
        </is>
      </c>
      <c r="K153" s="6">
        <f>IF(J153="Solved independently","Yes",IF(OR(J153="",J153="Not started"),"","No"))</f>
        <v/>
      </c>
      <c r="L153" s="9" t="n"/>
      <c r="M153" s="9" t="n"/>
      <c r="N153" s="9" t="n"/>
      <c r="O153" s="9" t="n"/>
      <c r="P153" s="10" t="n"/>
      <c r="Q153" s="9" t="n"/>
      <c r="R153" s="8" t="n"/>
      <c r="S153" s="11">
        <f>IF(R153="","",R153+IF(T153=0,3,IF(T153=1,7,IF(T153=2,21,45))))</f>
        <v/>
      </c>
      <c r="T153" s="9" t="n"/>
      <c r="U153" s="6">
        <f>IF(B153="","",LOWER(TRIM(B153)))</f>
        <v/>
      </c>
      <c r="V153" s="6">
        <f>IF(AND(U153&lt;&gt;"",OR(J153="Solved independently",J153="Solved with hints",J153="Solved after viewing solution"),COUNTIFS($U$2:U152,U153,$V$2:V152,1)=0),1,0)</f>
        <v/>
      </c>
      <c r="W153" s="6">
        <f>IF(AND(U153&lt;&gt;"",COUNTIF($U$2:$U$300,U153)&gt;1),"DUPLICATE KEY","")</f>
        <v/>
      </c>
    </row>
    <row r="154">
      <c r="A154" s="6" t="n">
        <v>153</v>
      </c>
      <c r="B154" s="6" t="inlineStr">
        <is>
          <t>Course Schedule</t>
        </is>
      </c>
      <c r="C154" s="6" t="inlineStr">
        <is>
          <t>LeetCode</t>
        </is>
      </c>
      <c r="D154" s="7" t="inlineStr">
        <is>
          <t>Open</t>
        </is>
      </c>
      <c r="E154" s="6" t="inlineStr">
        <is>
          <t>Graphs: BFS, DFS &amp; shortest paths</t>
        </is>
      </c>
      <c r="F154" s="6" t="inlineStr">
        <is>
          <t>Medium</t>
        </is>
      </c>
      <c r="G154" s="6" t="inlineStr">
        <is>
          <t>Essential</t>
        </is>
      </c>
      <c r="H154" s="6" t="n">
        <v>8</v>
      </c>
      <c r="I154" s="8" t="n"/>
      <c r="J154" s="9" t="inlineStr">
        <is>
          <t>Not started</t>
        </is>
      </c>
      <c r="K154" s="6">
        <f>IF(J154="Solved independently","Yes",IF(OR(J154="",J154="Not started"),"","No"))</f>
        <v/>
      </c>
      <c r="L154" s="9" t="n"/>
      <c r="M154" s="9" t="n"/>
      <c r="N154" s="9" t="n"/>
      <c r="O154" s="9" t="n"/>
      <c r="P154" s="10" t="n"/>
      <c r="Q154" s="9" t="n"/>
      <c r="R154" s="8" t="n"/>
      <c r="S154" s="11">
        <f>IF(R154="","",R154+IF(T154=0,3,IF(T154=1,7,IF(T154=2,21,45))))</f>
        <v/>
      </c>
      <c r="T154" s="9" t="n"/>
      <c r="U154" s="6">
        <f>IF(B154="","",LOWER(TRIM(B154)))</f>
        <v/>
      </c>
      <c r="V154" s="6">
        <f>IF(AND(U154&lt;&gt;"",OR(J154="Solved independently",J154="Solved with hints",J154="Solved after viewing solution"),COUNTIFS($U$2:U153,U154,$V$2:V153,1)=0),1,0)</f>
        <v/>
      </c>
      <c r="W154" s="6">
        <f>IF(AND(U154&lt;&gt;"",COUNTIF($U$2:$U$300,U154)&gt;1),"DUPLICATE KEY","")</f>
        <v/>
      </c>
    </row>
    <row r="155">
      <c r="A155" s="6" t="n">
        <v>154</v>
      </c>
      <c r="B155" s="6" t="inlineStr">
        <is>
          <t>Course Schedule II</t>
        </is>
      </c>
      <c r="C155" s="6" t="inlineStr">
        <is>
          <t>LeetCode</t>
        </is>
      </c>
      <c r="D155" s="7" t="inlineStr">
        <is>
          <t>Open</t>
        </is>
      </c>
      <c r="E155" s="6" t="inlineStr">
        <is>
          <t>Graphs: BFS, DFS &amp; shortest paths</t>
        </is>
      </c>
      <c r="F155" s="6" t="inlineStr">
        <is>
          <t>Medium</t>
        </is>
      </c>
      <c r="G155" s="6" t="inlineStr">
        <is>
          <t>Essential</t>
        </is>
      </c>
      <c r="H155" s="6" t="n">
        <v>8</v>
      </c>
      <c r="I155" s="8" t="n"/>
      <c r="J155" s="9" t="inlineStr">
        <is>
          <t>Not started</t>
        </is>
      </c>
      <c r="K155" s="6">
        <f>IF(J155="Solved independently","Yes",IF(OR(J155="",J155="Not started"),"","No"))</f>
        <v/>
      </c>
      <c r="L155" s="9" t="n"/>
      <c r="M155" s="9" t="n"/>
      <c r="N155" s="9" t="n"/>
      <c r="O155" s="9" t="n"/>
      <c r="P155" s="10" t="n"/>
      <c r="Q155" s="9" t="n"/>
      <c r="R155" s="8" t="n"/>
      <c r="S155" s="11">
        <f>IF(R155="","",R155+IF(T155=0,3,IF(T155=1,7,IF(T155=2,21,45))))</f>
        <v/>
      </c>
      <c r="T155" s="9" t="n"/>
      <c r="U155" s="6">
        <f>IF(B155="","",LOWER(TRIM(B155)))</f>
        <v/>
      </c>
      <c r="V155" s="6">
        <f>IF(AND(U155&lt;&gt;"",OR(J155="Solved independently",J155="Solved with hints",J155="Solved after viewing solution"),COUNTIFS($U$2:U154,U155,$V$2:V154,1)=0),1,0)</f>
        <v/>
      </c>
      <c r="W155" s="6">
        <f>IF(AND(U155&lt;&gt;"",COUNTIF($U$2:$U$300,U155)&gt;1),"DUPLICATE KEY","")</f>
        <v/>
      </c>
    </row>
    <row r="156">
      <c r="A156" s="6" t="n">
        <v>155</v>
      </c>
      <c r="B156" s="6" t="inlineStr">
        <is>
          <t>Is Graph Bipartite?</t>
        </is>
      </c>
      <c r="C156" s="6" t="inlineStr">
        <is>
          <t>LeetCode</t>
        </is>
      </c>
      <c r="D156" s="7" t="inlineStr">
        <is>
          <t>Open</t>
        </is>
      </c>
      <c r="E156" s="6" t="inlineStr">
        <is>
          <t>Graphs: BFS, DFS &amp; shortest paths</t>
        </is>
      </c>
      <c r="F156" s="6" t="inlineStr">
        <is>
          <t>Medium</t>
        </is>
      </c>
      <c r="G156" s="6" t="inlineStr">
        <is>
          <t>Recommended</t>
        </is>
      </c>
      <c r="H156" s="6" t="n">
        <v>8</v>
      </c>
      <c r="I156" s="8" t="n"/>
      <c r="J156" s="9" t="inlineStr">
        <is>
          <t>Not started</t>
        </is>
      </c>
      <c r="K156" s="6">
        <f>IF(J156="Solved independently","Yes",IF(OR(J156="",J156="Not started"),"","No"))</f>
        <v/>
      </c>
      <c r="L156" s="9" t="n"/>
      <c r="M156" s="9" t="n"/>
      <c r="N156" s="9" t="n"/>
      <c r="O156" s="9" t="n"/>
      <c r="P156" s="10" t="n"/>
      <c r="Q156" s="9" t="n"/>
      <c r="R156" s="8" t="n"/>
      <c r="S156" s="11">
        <f>IF(R156="","",R156+IF(T156=0,3,IF(T156=1,7,IF(T156=2,21,45))))</f>
        <v/>
      </c>
      <c r="T156" s="9" t="n"/>
      <c r="U156" s="6">
        <f>IF(B156="","",LOWER(TRIM(B156)))</f>
        <v/>
      </c>
      <c r="V156" s="6">
        <f>IF(AND(U156&lt;&gt;"",OR(J156="Solved independently",J156="Solved with hints",J156="Solved after viewing solution"),COUNTIFS($U$2:U155,U156,$V$2:V155,1)=0),1,0)</f>
        <v/>
      </c>
      <c r="W156" s="6">
        <f>IF(AND(U156&lt;&gt;"",COUNTIF($U$2:$U$300,U156)&gt;1),"DUPLICATE KEY","")</f>
        <v/>
      </c>
    </row>
    <row r="157">
      <c r="A157" s="6" t="n">
        <v>156</v>
      </c>
      <c r="B157" s="6" t="inlineStr">
        <is>
          <t>Word Ladder</t>
        </is>
      </c>
      <c r="C157" s="6" t="inlineStr">
        <is>
          <t>LeetCode</t>
        </is>
      </c>
      <c r="D157" s="7" t="inlineStr">
        <is>
          <t>Open</t>
        </is>
      </c>
      <c r="E157" s="6" t="inlineStr">
        <is>
          <t>Graphs: BFS, DFS &amp; shortest paths</t>
        </is>
      </c>
      <c r="F157" s="6" t="inlineStr">
        <is>
          <t>Hard</t>
        </is>
      </c>
      <c r="G157" s="6" t="inlineStr">
        <is>
          <t>Recommended</t>
        </is>
      </c>
      <c r="H157" s="6" t="n">
        <v>8</v>
      </c>
      <c r="I157" s="8" t="n"/>
      <c r="J157" s="9" t="inlineStr">
        <is>
          <t>Not started</t>
        </is>
      </c>
      <c r="K157" s="6">
        <f>IF(J157="Solved independently","Yes",IF(OR(J157="",J157="Not started"),"","No"))</f>
        <v/>
      </c>
      <c r="L157" s="9" t="n"/>
      <c r="M157" s="9" t="n"/>
      <c r="N157" s="9" t="n"/>
      <c r="O157" s="9" t="n"/>
      <c r="P157" s="10" t="n"/>
      <c r="Q157" s="9" t="n"/>
      <c r="R157" s="8" t="n"/>
      <c r="S157" s="11">
        <f>IF(R157="","",R157+IF(T157=0,3,IF(T157=1,7,IF(T157=2,21,45))))</f>
        <v/>
      </c>
      <c r="T157" s="9" t="n"/>
      <c r="U157" s="6">
        <f>IF(B157="","",LOWER(TRIM(B157)))</f>
        <v/>
      </c>
      <c r="V157" s="6">
        <f>IF(AND(U157&lt;&gt;"",OR(J157="Solved independently",J157="Solved with hints",J157="Solved after viewing solution"),COUNTIFS($U$2:U156,U157,$V$2:V156,1)=0),1,0)</f>
        <v/>
      </c>
      <c r="W157" s="6">
        <f>IF(AND(U157&lt;&gt;"",COUNTIF($U$2:$U$300,U157)&gt;1),"DUPLICATE KEY","")</f>
        <v/>
      </c>
    </row>
    <row r="158">
      <c r="A158" s="6" t="n">
        <v>157</v>
      </c>
      <c r="B158" s="6" t="inlineStr">
        <is>
          <t>Network Delay Time</t>
        </is>
      </c>
      <c r="C158" s="6" t="inlineStr">
        <is>
          <t>LeetCode</t>
        </is>
      </c>
      <c r="D158" s="7" t="inlineStr">
        <is>
          <t>Open</t>
        </is>
      </c>
      <c r="E158" s="6" t="inlineStr">
        <is>
          <t>Graphs: BFS, DFS &amp; shortest paths</t>
        </is>
      </c>
      <c r="F158" s="6" t="inlineStr">
        <is>
          <t>Medium</t>
        </is>
      </c>
      <c r="G158" s="6" t="inlineStr">
        <is>
          <t>Essential</t>
        </is>
      </c>
      <c r="H158" s="6" t="n">
        <v>8</v>
      </c>
      <c r="I158" s="8" t="n"/>
      <c r="J158" s="9" t="inlineStr">
        <is>
          <t>Not started</t>
        </is>
      </c>
      <c r="K158" s="6">
        <f>IF(J158="Solved independently","Yes",IF(OR(J158="",J158="Not started"),"","No"))</f>
        <v/>
      </c>
      <c r="L158" s="9" t="n"/>
      <c r="M158" s="9" t="n"/>
      <c r="N158" s="9" t="n"/>
      <c r="O158" s="9" t="n"/>
      <c r="P158" s="10" t="n"/>
      <c r="Q158" s="9" t="n"/>
      <c r="R158" s="8" t="n"/>
      <c r="S158" s="11">
        <f>IF(R158="","",R158+IF(T158=0,3,IF(T158=1,7,IF(T158=2,21,45))))</f>
        <v/>
      </c>
      <c r="T158" s="9" t="n"/>
      <c r="U158" s="6">
        <f>IF(B158="","",LOWER(TRIM(B158)))</f>
        <v/>
      </c>
      <c r="V158" s="6">
        <f>IF(AND(U158&lt;&gt;"",OR(J158="Solved independently",J158="Solved with hints",J158="Solved after viewing solution"),COUNTIFS($U$2:U157,U158,$V$2:V157,1)=0),1,0)</f>
        <v/>
      </c>
      <c r="W158" s="6">
        <f>IF(AND(U158&lt;&gt;"",COUNTIF($U$2:$U$300,U158)&gt;1),"DUPLICATE KEY","")</f>
        <v/>
      </c>
    </row>
    <row r="159">
      <c r="A159" s="6" t="n">
        <v>158</v>
      </c>
      <c r="B159" s="6" t="inlineStr">
        <is>
          <t>Cheapest Flights Within K Stops</t>
        </is>
      </c>
      <c r="C159" s="6" t="inlineStr">
        <is>
          <t>LeetCode</t>
        </is>
      </c>
      <c r="D159" s="7" t="inlineStr">
        <is>
          <t>Open</t>
        </is>
      </c>
      <c r="E159" s="6" t="inlineStr">
        <is>
          <t>Graphs: BFS, DFS &amp; shortest paths</t>
        </is>
      </c>
      <c r="F159" s="6" t="inlineStr">
        <is>
          <t>Medium</t>
        </is>
      </c>
      <c r="G159" s="6" t="inlineStr">
        <is>
          <t>Optional</t>
        </is>
      </c>
      <c r="H159" s="6" t="n">
        <v>8</v>
      </c>
      <c r="I159" s="8" t="n"/>
      <c r="J159" s="9" t="inlineStr">
        <is>
          <t>Not started</t>
        </is>
      </c>
      <c r="K159" s="6">
        <f>IF(J159="Solved independently","Yes",IF(OR(J159="",J159="Not started"),"","No"))</f>
        <v/>
      </c>
      <c r="L159" s="9" t="n"/>
      <c r="M159" s="9" t="n"/>
      <c r="N159" s="9" t="n"/>
      <c r="O159" s="9" t="n"/>
      <c r="P159" s="10" t="n"/>
      <c r="Q159" s="9" t="n"/>
      <c r="R159" s="8" t="n"/>
      <c r="S159" s="11">
        <f>IF(R159="","",R159+IF(T159=0,3,IF(T159=1,7,IF(T159=2,21,45))))</f>
        <v/>
      </c>
      <c r="T159" s="9" t="n"/>
      <c r="U159" s="6">
        <f>IF(B159="","",LOWER(TRIM(B159)))</f>
        <v/>
      </c>
      <c r="V159" s="6">
        <f>IF(AND(U159&lt;&gt;"",OR(J159="Solved independently",J159="Solved with hints",J159="Solved after viewing solution"),COUNTIFS($U$2:U158,U159,$V$2:V158,1)=0),1,0)</f>
        <v/>
      </c>
      <c r="W159" s="6">
        <f>IF(AND(U159&lt;&gt;"",COUNTIF($U$2:$U$300,U159)&gt;1),"DUPLICATE KEY","")</f>
        <v/>
      </c>
    </row>
    <row r="160">
      <c r="A160" s="6" t="n">
        <v>159</v>
      </c>
      <c r="B160" s="6" t="inlineStr">
        <is>
          <t>Roads and Libraries</t>
        </is>
      </c>
      <c r="C160" s="6" t="inlineStr">
        <is>
          <t>HackerRank</t>
        </is>
      </c>
      <c r="D160" s="7" t="inlineStr">
        <is>
          <t>Open</t>
        </is>
      </c>
      <c r="E160" s="6" t="inlineStr">
        <is>
          <t>Graphs: BFS, DFS &amp; shortest paths</t>
        </is>
      </c>
      <c r="F160" s="6" t="inlineStr">
        <is>
          <t>Medium</t>
        </is>
      </c>
      <c r="G160" s="6" t="inlineStr">
        <is>
          <t>Optional</t>
        </is>
      </c>
      <c r="H160" s="6" t="n">
        <v>8</v>
      </c>
      <c r="I160" s="8" t="n"/>
      <c r="J160" s="9" t="inlineStr">
        <is>
          <t>Not started</t>
        </is>
      </c>
      <c r="K160" s="6">
        <f>IF(J160="Solved independently","Yes",IF(OR(J160="",J160="Not started"),"","No"))</f>
        <v/>
      </c>
      <c r="L160" s="9" t="n"/>
      <c r="M160" s="9" t="n"/>
      <c r="N160" s="9" t="n"/>
      <c r="O160" s="9" t="n"/>
      <c r="P160" s="10" t="n"/>
      <c r="Q160" s="9" t="n"/>
      <c r="R160" s="8" t="n"/>
      <c r="S160" s="11">
        <f>IF(R160="","",R160+IF(T160=0,3,IF(T160=1,7,IF(T160=2,21,45))))</f>
        <v/>
      </c>
      <c r="T160" s="9" t="n"/>
      <c r="U160" s="6">
        <f>IF(B160="","",LOWER(TRIM(B160)))</f>
        <v/>
      </c>
      <c r="V160" s="6">
        <f>IF(AND(U160&lt;&gt;"",OR(J160="Solved independently",J160="Solved with hints",J160="Solved after viewing solution"),COUNTIFS($U$2:U159,U160,$V$2:V159,1)=0),1,0)</f>
        <v/>
      </c>
      <c r="W160" s="6">
        <f>IF(AND(U160&lt;&gt;"",COUNTIF($U$2:$U$300,U160)&gt;1),"DUPLICATE KEY","")</f>
        <v/>
      </c>
    </row>
    <row r="161">
      <c r="A161" s="6" t="n">
        <v>160</v>
      </c>
      <c r="B161" s="6" t="inlineStr">
        <is>
          <t>Climbing Stairs</t>
        </is>
      </c>
      <c r="C161" s="6" t="inlineStr">
        <is>
          <t>LeetCode</t>
        </is>
      </c>
      <c r="D161" s="7" t="inlineStr">
        <is>
          <t>Open</t>
        </is>
      </c>
      <c r="E161" s="6" t="inlineStr">
        <is>
          <t>Dynamic programming</t>
        </is>
      </c>
      <c r="F161" s="6" t="inlineStr">
        <is>
          <t>Easy</t>
        </is>
      </c>
      <c r="G161" s="6" t="inlineStr">
        <is>
          <t>Essential</t>
        </is>
      </c>
      <c r="H161" s="6" t="n">
        <v>9</v>
      </c>
      <c r="I161" s="8" t="n"/>
      <c r="J161" s="9" t="inlineStr">
        <is>
          <t>Not started</t>
        </is>
      </c>
      <c r="K161" s="6">
        <f>IF(J161="Solved independently","Yes",IF(OR(J161="",J161="Not started"),"","No"))</f>
        <v/>
      </c>
      <c r="L161" s="9" t="n"/>
      <c r="M161" s="9" t="n"/>
      <c r="N161" s="9" t="n"/>
      <c r="O161" s="9" t="n"/>
      <c r="P161" s="10" t="n"/>
      <c r="Q161" s="9" t="n"/>
      <c r="R161" s="8" t="n"/>
      <c r="S161" s="11">
        <f>IF(R161="","",R161+IF(T161=0,3,IF(T161=1,7,IF(T161=2,21,45))))</f>
        <v/>
      </c>
      <c r="T161" s="9" t="n"/>
      <c r="U161" s="6">
        <f>IF(B161="","",LOWER(TRIM(B161)))</f>
        <v/>
      </c>
      <c r="V161" s="6">
        <f>IF(AND(U161&lt;&gt;"",OR(J161="Solved independently",J161="Solved with hints",J161="Solved after viewing solution"),COUNTIFS($U$2:U160,U161,$V$2:V160,1)=0),1,0)</f>
        <v/>
      </c>
      <c r="W161" s="6">
        <f>IF(AND(U161&lt;&gt;"",COUNTIF($U$2:$U$300,U161)&gt;1),"DUPLICATE KEY","")</f>
        <v/>
      </c>
    </row>
    <row r="162">
      <c r="A162" s="6" t="n">
        <v>161</v>
      </c>
      <c r="B162" s="6" t="inlineStr">
        <is>
          <t>Min Cost Climbing Stairs</t>
        </is>
      </c>
      <c r="C162" s="6" t="inlineStr">
        <is>
          <t>LeetCode</t>
        </is>
      </c>
      <c r="D162" s="7" t="inlineStr">
        <is>
          <t>Open</t>
        </is>
      </c>
      <c r="E162" s="6" t="inlineStr">
        <is>
          <t>Dynamic programming</t>
        </is>
      </c>
      <c r="F162" s="6" t="inlineStr">
        <is>
          <t>Easy</t>
        </is>
      </c>
      <c r="G162" s="6" t="inlineStr">
        <is>
          <t>Recommended</t>
        </is>
      </c>
      <c r="H162" s="6" t="n">
        <v>9</v>
      </c>
      <c r="I162" s="8" t="n"/>
      <c r="J162" s="9" t="inlineStr">
        <is>
          <t>Not started</t>
        </is>
      </c>
      <c r="K162" s="6">
        <f>IF(J162="Solved independently","Yes",IF(OR(J162="",J162="Not started"),"","No"))</f>
        <v/>
      </c>
      <c r="L162" s="9" t="n"/>
      <c r="M162" s="9" t="n"/>
      <c r="N162" s="9" t="n"/>
      <c r="O162" s="9" t="n"/>
      <c r="P162" s="10" t="n"/>
      <c r="Q162" s="9" t="n"/>
      <c r="R162" s="8" t="n"/>
      <c r="S162" s="11">
        <f>IF(R162="","",R162+IF(T162=0,3,IF(T162=1,7,IF(T162=2,21,45))))</f>
        <v/>
      </c>
      <c r="T162" s="9" t="n"/>
      <c r="U162" s="6">
        <f>IF(B162="","",LOWER(TRIM(B162)))</f>
        <v/>
      </c>
      <c r="V162" s="6">
        <f>IF(AND(U162&lt;&gt;"",OR(J162="Solved independently",J162="Solved with hints",J162="Solved after viewing solution"),COUNTIFS($U$2:U161,U162,$V$2:V161,1)=0),1,0)</f>
        <v/>
      </c>
      <c r="W162" s="6">
        <f>IF(AND(U162&lt;&gt;"",COUNTIF($U$2:$U$300,U162)&gt;1),"DUPLICATE KEY","")</f>
        <v/>
      </c>
    </row>
    <row r="163">
      <c r="A163" s="6" t="n">
        <v>162</v>
      </c>
      <c r="B163" s="6" t="inlineStr">
        <is>
          <t>House Robber</t>
        </is>
      </c>
      <c r="C163" s="6" t="inlineStr">
        <is>
          <t>LeetCode</t>
        </is>
      </c>
      <c r="D163" s="7" t="inlineStr">
        <is>
          <t>Open</t>
        </is>
      </c>
      <c r="E163" s="6" t="inlineStr">
        <is>
          <t>Dynamic programming</t>
        </is>
      </c>
      <c r="F163" s="6" t="inlineStr">
        <is>
          <t>Medium</t>
        </is>
      </c>
      <c r="G163" s="6" t="inlineStr">
        <is>
          <t>Essential</t>
        </is>
      </c>
      <c r="H163" s="6" t="n">
        <v>9</v>
      </c>
      <c r="I163" s="8" t="n"/>
      <c r="J163" s="9" t="inlineStr">
        <is>
          <t>Not started</t>
        </is>
      </c>
      <c r="K163" s="6">
        <f>IF(J163="Solved independently","Yes",IF(OR(J163="",J163="Not started"),"","No"))</f>
        <v/>
      </c>
      <c r="L163" s="9" t="n"/>
      <c r="M163" s="9" t="n"/>
      <c r="N163" s="9" t="n"/>
      <c r="O163" s="9" t="n"/>
      <c r="P163" s="10" t="n"/>
      <c r="Q163" s="9" t="n"/>
      <c r="R163" s="8" t="n"/>
      <c r="S163" s="11">
        <f>IF(R163="","",R163+IF(T163=0,3,IF(T163=1,7,IF(T163=2,21,45))))</f>
        <v/>
      </c>
      <c r="T163" s="9" t="n"/>
      <c r="U163" s="6">
        <f>IF(B163="","",LOWER(TRIM(B163)))</f>
        <v/>
      </c>
      <c r="V163" s="6">
        <f>IF(AND(U163&lt;&gt;"",OR(J163="Solved independently",J163="Solved with hints",J163="Solved after viewing solution"),COUNTIFS($U$2:U162,U163,$V$2:V162,1)=0),1,0)</f>
        <v/>
      </c>
      <c r="W163" s="6">
        <f>IF(AND(U163&lt;&gt;"",COUNTIF($U$2:$U$300,U163)&gt;1),"DUPLICATE KEY","")</f>
        <v/>
      </c>
    </row>
    <row r="164">
      <c r="A164" s="6" t="n">
        <v>163</v>
      </c>
      <c r="B164" s="6" t="inlineStr">
        <is>
          <t>House Robber II</t>
        </is>
      </c>
      <c r="C164" s="6" t="inlineStr">
        <is>
          <t>LeetCode</t>
        </is>
      </c>
      <c r="D164" s="7" t="inlineStr">
        <is>
          <t>Open</t>
        </is>
      </c>
      <c r="E164" s="6" t="inlineStr">
        <is>
          <t>Dynamic programming</t>
        </is>
      </c>
      <c r="F164" s="6" t="inlineStr">
        <is>
          <t>Medium</t>
        </is>
      </c>
      <c r="G164" s="6" t="inlineStr">
        <is>
          <t>Recommended</t>
        </is>
      </c>
      <c r="H164" s="6" t="n">
        <v>9</v>
      </c>
      <c r="I164" s="8" t="n"/>
      <c r="J164" s="9" t="inlineStr">
        <is>
          <t>Not started</t>
        </is>
      </c>
      <c r="K164" s="6">
        <f>IF(J164="Solved independently","Yes",IF(OR(J164="",J164="Not started"),"","No"))</f>
        <v/>
      </c>
      <c r="L164" s="9" t="n"/>
      <c r="M164" s="9" t="n"/>
      <c r="N164" s="9" t="n"/>
      <c r="O164" s="9" t="n"/>
      <c r="P164" s="10" t="n"/>
      <c r="Q164" s="9" t="n"/>
      <c r="R164" s="8" t="n"/>
      <c r="S164" s="11">
        <f>IF(R164="","",R164+IF(T164=0,3,IF(T164=1,7,IF(T164=2,21,45))))</f>
        <v/>
      </c>
      <c r="T164" s="9" t="n"/>
      <c r="U164" s="6">
        <f>IF(B164="","",LOWER(TRIM(B164)))</f>
        <v/>
      </c>
      <c r="V164" s="6">
        <f>IF(AND(U164&lt;&gt;"",OR(J164="Solved independently",J164="Solved with hints",J164="Solved after viewing solution"),COUNTIFS($U$2:U163,U164,$V$2:V163,1)=0),1,0)</f>
        <v/>
      </c>
      <c r="W164" s="6">
        <f>IF(AND(U164&lt;&gt;"",COUNTIF($U$2:$U$300,U164)&gt;1),"DUPLICATE KEY","")</f>
        <v/>
      </c>
    </row>
    <row r="165">
      <c r="A165" s="6" t="n">
        <v>164</v>
      </c>
      <c r="B165" s="6" t="inlineStr">
        <is>
          <t>Coin Change</t>
        </is>
      </c>
      <c r="C165" s="6" t="inlineStr">
        <is>
          <t>LeetCode</t>
        </is>
      </c>
      <c r="D165" s="7" t="inlineStr">
        <is>
          <t>Open</t>
        </is>
      </c>
      <c r="E165" s="6" t="inlineStr">
        <is>
          <t>Dynamic programming</t>
        </is>
      </c>
      <c r="F165" s="6" t="inlineStr">
        <is>
          <t>Medium</t>
        </is>
      </c>
      <c r="G165" s="6" t="inlineStr">
        <is>
          <t>Essential</t>
        </is>
      </c>
      <c r="H165" s="6" t="n">
        <v>9</v>
      </c>
      <c r="I165" s="8" t="n"/>
      <c r="J165" s="9" t="inlineStr">
        <is>
          <t>Not started</t>
        </is>
      </c>
      <c r="K165" s="6">
        <f>IF(J165="Solved independently","Yes",IF(OR(J165="",J165="Not started"),"","No"))</f>
        <v/>
      </c>
      <c r="L165" s="9" t="n"/>
      <c r="M165" s="9" t="n"/>
      <c r="N165" s="9" t="n"/>
      <c r="O165" s="9" t="n"/>
      <c r="P165" s="10" t="n"/>
      <c r="Q165" s="9" t="n"/>
      <c r="R165" s="8" t="n"/>
      <c r="S165" s="11">
        <f>IF(R165="","",R165+IF(T165=0,3,IF(T165=1,7,IF(T165=2,21,45))))</f>
        <v/>
      </c>
      <c r="T165" s="9" t="n"/>
      <c r="U165" s="6">
        <f>IF(B165="","",LOWER(TRIM(B165)))</f>
        <v/>
      </c>
      <c r="V165" s="6">
        <f>IF(AND(U165&lt;&gt;"",OR(J165="Solved independently",J165="Solved with hints",J165="Solved after viewing solution"),COUNTIFS($U$2:U164,U165,$V$2:V164,1)=0),1,0)</f>
        <v/>
      </c>
      <c r="W165" s="6">
        <f>IF(AND(U165&lt;&gt;"",COUNTIF($U$2:$U$300,U165)&gt;1),"DUPLICATE KEY","")</f>
        <v/>
      </c>
    </row>
    <row r="166">
      <c r="A166" s="6" t="n">
        <v>165</v>
      </c>
      <c r="B166" s="6" t="inlineStr">
        <is>
          <t>Longest Increasing Subsequence</t>
        </is>
      </c>
      <c r="C166" s="6" t="inlineStr">
        <is>
          <t>LeetCode</t>
        </is>
      </c>
      <c r="D166" s="7" t="inlineStr">
        <is>
          <t>Open</t>
        </is>
      </c>
      <c r="E166" s="6" t="inlineStr">
        <is>
          <t>Dynamic programming</t>
        </is>
      </c>
      <c r="F166" s="6" t="inlineStr">
        <is>
          <t>Medium</t>
        </is>
      </c>
      <c r="G166" s="6" t="inlineStr">
        <is>
          <t>Essential</t>
        </is>
      </c>
      <c r="H166" s="6" t="n">
        <v>9</v>
      </c>
      <c r="I166" s="8" t="n"/>
      <c r="J166" s="9" t="inlineStr">
        <is>
          <t>Not started</t>
        </is>
      </c>
      <c r="K166" s="6">
        <f>IF(J166="Solved independently","Yes",IF(OR(J166="",J166="Not started"),"","No"))</f>
        <v/>
      </c>
      <c r="L166" s="9" t="n"/>
      <c r="M166" s="9" t="n"/>
      <c r="N166" s="9" t="n"/>
      <c r="O166" s="9" t="n"/>
      <c r="P166" s="10" t="n"/>
      <c r="Q166" s="9" t="n"/>
      <c r="R166" s="8" t="n"/>
      <c r="S166" s="11">
        <f>IF(R166="","",R166+IF(T166=0,3,IF(T166=1,7,IF(T166=2,21,45))))</f>
        <v/>
      </c>
      <c r="T166" s="9" t="n"/>
      <c r="U166" s="6">
        <f>IF(B166="","",LOWER(TRIM(B166)))</f>
        <v/>
      </c>
      <c r="V166" s="6">
        <f>IF(AND(U166&lt;&gt;"",OR(J166="Solved independently",J166="Solved with hints",J166="Solved after viewing solution"),COUNTIFS($U$2:U165,U166,$V$2:V165,1)=0),1,0)</f>
        <v/>
      </c>
      <c r="W166" s="6">
        <f>IF(AND(U166&lt;&gt;"",COUNTIF($U$2:$U$300,U166)&gt;1),"DUPLICATE KEY","")</f>
        <v/>
      </c>
    </row>
    <row r="167">
      <c r="A167" s="6" t="n">
        <v>166</v>
      </c>
      <c r="B167" s="6" t="inlineStr">
        <is>
          <t>Unique Paths</t>
        </is>
      </c>
      <c r="C167" s="6" t="inlineStr">
        <is>
          <t>LeetCode</t>
        </is>
      </c>
      <c r="D167" s="7" t="inlineStr">
        <is>
          <t>Open</t>
        </is>
      </c>
      <c r="E167" s="6" t="inlineStr">
        <is>
          <t>Dynamic programming</t>
        </is>
      </c>
      <c r="F167" s="6" t="inlineStr">
        <is>
          <t>Medium</t>
        </is>
      </c>
      <c r="G167" s="6" t="inlineStr">
        <is>
          <t>Essential</t>
        </is>
      </c>
      <c r="H167" s="6" t="n">
        <v>9</v>
      </c>
      <c r="I167" s="8" t="n"/>
      <c r="J167" s="9" t="inlineStr">
        <is>
          <t>Not started</t>
        </is>
      </c>
      <c r="K167" s="6">
        <f>IF(J167="Solved independently","Yes",IF(OR(J167="",J167="Not started"),"","No"))</f>
        <v/>
      </c>
      <c r="L167" s="9" t="n"/>
      <c r="M167" s="9" t="n"/>
      <c r="N167" s="9" t="n"/>
      <c r="O167" s="9" t="n"/>
      <c r="P167" s="10" t="n"/>
      <c r="Q167" s="9" t="n"/>
      <c r="R167" s="8" t="n"/>
      <c r="S167" s="11">
        <f>IF(R167="","",R167+IF(T167=0,3,IF(T167=1,7,IF(T167=2,21,45))))</f>
        <v/>
      </c>
      <c r="T167" s="9" t="n"/>
      <c r="U167" s="6">
        <f>IF(B167="","",LOWER(TRIM(B167)))</f>
        <v/>
      </c>
      <c r="V167" s="6">
        <f>IF(AND(U167&lt;&gt;"",OR(J167="Solved independently",J167="Solved with hints",J167="Solved after viewing solution"),COUNTIFS($U$2:U166,U167,$V$2:V166,1)=0),1,0)</f>
        <v/>
      </c>
      <c r="W167" s="6">
        <f>IF(AND(U167&lt;&gt;"",COUNTIF($U$2:$U$300,U167)&gt;1),"DUPLICATE KEY","")</f>
        <v/>
      </c>
    </row>
    <row r="168">
      <c r="A168" s="6" t="n">
        <v>167</v>
      </c>
      <c r="B168" s="6" t="inlineStr">
        <is>
          <t>Minimum Path Sum</t>
        </is>
      </c>
      <c r="C168" s="6" t="inlineStr">
        <is>
          <t>LeetCode</t>
        </is>
      </c>
      <c r="D168" s="7" t="inlineStr">
        <is>
          <t>Open</t>
        </is>
      </c>
      <c r="E168" s="6" t="inlineStr">
        <is>
          <t>Dynamic programming</t>
        </is>
      </c>
      <c r="F168" s="6" t="inlineStr">
        <is>
          <t>Medium</t>
        </is>
      </c>
      <c r="G168" s="6" t="inlineStr">
        <is>
          <t>Recommended</t>
        </is>
      </c>
      <c r="H168" s="6" t="n">
        <v>9</v>
      </c>
      <c r="I168" s="8" t="n"/>
      <c r="J168" s="9" t="inlineStr">
        <is>
          <t>Not started</t>
        </is>
      </c>
      <c r="K168" s="6">
        <f>IF(J168="Solved independently","Yes",IF(OR(J168="",J168="Not started"),"","No"))</f>
        <v/>
      </c>
      <c r="L168" s="9" t="n"/>
      <c r="M168" s="9" t="n"/>
      <c r="N168" s="9" t="n"/>
      <c r="O168" s="9" t="n"/>
      <c r="P168" s="10" t="n"/>
      <c r="Q168" s="9" t="n"/>
      <c r="R168" s="8" t="n"/>
      <c r="S168" s="11">
        <f>IF(R168="","",R168+IF(T168=0,3,IF(T168=1,7,IF(T168=2,21,45))))</f>
        <v/>
      </c>
      <c r="T168" s="9" t="n"/>
      <c r="U168" s="6">
        <f>IF(B168="","",LOWER(TRIM(B168)))</f>
        <v/>
      </c>
      <c r="V168" s="6">
        <f>IF(AND(U168&lt;&gt;"",OR(J168="Solved independently",J168="Solved with hints",J168="Solved after viewing solution"),COUNTIFS($U$2:U167,U168,$V$2:V167,1)=0),1,0)</f>
        <v/>
      </c>
      <c r="W168" s="6">
        <f>IF(AND(U168&lt;&gt;"",COUNTIF($U$2:$U$300,U168)&gt;1),"DUPLICATE KEY","")</f>
        <v/>
      </c>
    </row>
    <row r="169">
      <c r="A169" s="6" t="n">
        <v>168</v>
      </c>
      <c r="B169" s="6" t="inlineStr">
        <is>
          <t>Decode Ways</t>
        </is>
      </c>
      <c r="C169" s="6" t="inlineStr">
        <is>
          <t>LeetCode</t>
        </is>
      </c>
      <c r="D169" s="7" t="inlineStr">
        <is>
          <t>Open</t>
        </is>
      </c>
      <c r="E169" s="6" t="inlineStr">
        <is>
          <t>Dynamic programming</t>
        </is>
      </c>
      <c r="F169" s="6" t="inlineStr">
        <is>
          <t>Medium</t>
        </is>
      </c>
      <c r="G169" s="6" t="inlineStr">
        <is>
          <t>Recommended</t>
        </is>
      </c>
      <c r="H169" s="6" t="n">
        <v>9</v>
      </c>
      <c r="I169" s="8" t="n"/>
      <c r="J169" s="9" t="inlineStr">
        <is>
          <t>Not started</t>
        </is>
      </c>
      <c r="K169" s="6">
        <f>IF(J169="Solved independently","Yes",IF(OR(J169="",J169="Not started"),"","No"))</f>
        <v/>
      </c>
      <c r="L169" s="9" t="n"/>
      <c r="M169" s="9" t="n"/>
      <c r="N169" s="9" t="n"/>
      <c r="O169" s="9" t="n"/>
      <c r="P169" s="10" t="n"/>
      <c r="Q169" s="9" t="n"/>
      <c r="R169" s="8" t="n"/>
      <c r="S169" s="11">
        <f>IF(R169="","",R169+IF(T169=0,3,IF(T169=1,7,IF(T169=2,21,45))))</f>
        <v/>
      </c>
      <c r="T169" s="9" t="n"/>
      <c r="U169" s="6">
        <f>IF(B169="","",LOWER(TRIM(B169)))</f>
        <v/>
      </c>
      <c r="V169" s="6">
        <f>IF(AND(U169&lt;&gt;"",OR(J169="Solved independently",J169="Solved with hints",J169="Solved after viewing solution"),COUNTIFS($U$2:U168,U169,$V$2:V168,1)=0),1,0)</f>
        <v/>
      </c>
      <c r="W169" s="6">
        <f>IF(AND(U169&lt;&gt;"",COUNTIF($U$2:$U$300,U169)&gt;1),"DUPLICATE KEY","")</f>
        <v/>
      </c>
    </row>
    <row r="170">
      <c r="A170" s="6" t="n">
        <v>169</v>
      </c>
      <c r="B170" s="6" t="inlineStr">
        <is>
          <t>Word Break</t>
        </is>
      </c>
      <c r="C170" s="6" t="inlineStr">
        <is>
          <t>LeetCode</t>
        </is>
      </c>
      <c r="D170" s="7" t="inlineStr">
        <is>
          <t>Open</t>
        </is>
      </c>
      <c r="E170" s="6" t="inlineStr">
        <is>
          <t>Dynamic programming</t>
        </is>
      </c>
      <c r="F170" s="6" t="inlineStr">
        <is>
          <t>Medium</t>
        </is>
      </c>
      <c r="G170" s="6" t="inlineStr">
        <is>
          <t>Essential</t>
        </is>
      </c>
      <c r="H170" s="6" t="n">
        <v>9</v>
      </c>
      <c r="I170" s="8" t="n"/>
      <c r="J170" s="9" t="inlineStr">
        <is>
          <t>Not started</t>
        </is>
      </c>
      <c r="K170" s="6">
        <f>IF(J170="Solved independently","Yes",IF(OR(J170="",J170="Not started"),"","No"))</f>
        <v/>
      </c>
      <c r="L170" s="9" t="n"/>
      <c r="M170" s="9" t="n"/>
      <c r="N170" s="9" t="n"/>
      <c r="O170" s="9" t="n"/>
      <c r="P170" s="10" t="n"/>
      <c r="Q170" s="9" t="n"/>
      <c r="R170" s="8" t="n"/>
      <c r="S170" s="11">
        <f>IF(R170="","",R170+IF(T170=0,3,IF(T170=1,7,IF(T170=2,21,45))))</f>
        <v/>
      </c>
      <c r="T170" s="9" t="n"/>
      <c r="U170" s="6">
        <f>IF(B170="","",LOWER(TRIM(B170)))</f>
        <v/>
      </c>
      <c r="V170" s="6">
        <f>IF(AND(U170&lt;&gt;"",OR(J170="Solved independently",J170="Solved with hints",J170="Solved after viewing solution"),COUNTIFS($U$2:U169,U170,$V$2:V169,1)=0),1,0)</f>
        <v/>
      </c>
      <c r="W170" s="6">
        <f>IF(AND(U170&lt;&gt;"",COUNTIF($U$2:$U$300,U170)&gt;1),"DUPLICATE KEY","")</f>
        <v/>
      </c>
    </row>
    <row r="171">
      <c r="A171" s="6" t="n">
        <v>170</v>
      </c>
      <c r="B171" s="6" t="inlineStr">
        <is>
          <t>Maximum Product Subarray</t>
        </is>
      </c>
      <c r="C171" s="6" t="inlineStr">
        <is>
          <t>LeetCode</t>
        </is>
      </c>
      <c r="D171" s="7" t="inlineStr">
        <is>
          <t>Open</t>
        </is>
      </c>
      <c r="E171" s="6" t="inlineStr">
        <is>
          <t>Dynamic programming</t>
        </is>
      </c>
      <c r="F171" s="6" t="inlineStr">
        <is>
          <t>Medium</t>
        </is>
      </c>
      <c r="G171" s="6" t="inlineStr">
        <is>
          <t>Recommended</t>
        </is>
      </c>
      <c r="H171" s="6" t="n">
        <v>9</v>
      </c>
      <c r="I171" s="8" t="n"/>
      <c r="J171" s="9" t="inlineStr">
        <is>
          <t>Not started</t>
        </is>
      </c>
      <c r="K171" s="6">
        <f>IF(J171="Solved independently","Yes",IF(OR(J171="",J171="Not started"),"","No"))</f>
        <v/>
      </c>
      <c r="L171" s="9" t="n"/>
      <c r="M171" s="9" t="n"/>
      <c r="N171" s="9" t="n"/>
      <c r="O171" s="9" t="n"/>
      <c r="P171" s="10" t="n"/>
      <c r="Q171" s="9" t="n"/>
      <c r="R171" s="8" t="n"/>
      <c r="S171" s="11">
        <f>IF(R171="","",R171+IF(T171=0,3,IF(T171=1,7,IF(T171=2,21,45))))</f>
        <v/>
      </c>
      <c r="T171" s="9" t="n"/>
      <c r="U171" s="6">
        <f>IF(B171="","",LOWER(TRIM(B171)))</f>
        <v/>
      </c>
      <c r="V171" s="6">
        <f>IF(AND(U171&lt;&gt;"",OR(J171="Solved independently",J171="Solved with hints",J171="Solved after viewing solution"),COUNTIFS($U$2:U170,U171,$V$2:V170,1)=0),1,0)</f>
        <v/>
      </c>
      <c r="W171" s="6">
        <f>IF(AND(U171&lt;&gt;"",COUNTIF($U$2:$U$300,U171)&gt;1),"DUPLICATE KEY","")</f>
        <v/>
      </c>
    </row>
    <row r="172">
      <c r="A172" s="6" t="n">
        <v>171</v>
      </c>
      <c r="B172" s="6" t="inlineStr">
        <is>
          <t>Longest Common Subsequence</t>
        </is>
      </c>
      <c r="C172" s="6" t="inlineStr">
        <is>
          <t>LeetCode</t>
        </is>
      </c>
      <c r="D172" s="7" t="inlineStr">
        <is>
          <t>Open</t>
        </is>
      </c>
      <c r="E172" s="6" t="inlineStr">
        <is>
          <t>Dynamic programming</t>
        </is>
      </c>
      <c r="F172" s="6" t="inlineStr">
        <is>
          <t>Medium</t>
        </is>
      </c>
      <c r="G172" s="6" t="inlineStr">
        <is>
          <t>Essential</t>
        </is>
      </c>
      <c r="H172" s="6" t="n">
        <v>9</v>
      </c>
      <c r="I172" s="8" t="n"/>
      <c r="J172" s="9" t="inlineStr">
        <is>
          <t>Not started</t>
        </is>
      </c>
      <c r="K172" s="6">
        <f>IF(J172="Solved independently","Yes",IF(OR(J172="",J172="Not started"),"","No"))</f>
        <v/>
      </c>
      <c r="L172" s="9" t="n"/>
      <c r="M172" s="9" t="n"/>
      <c r="N172" s="9" t="n"/>
      <c r="O172" s="9" t="n"/>
      <c r="P172" s="10" t="n"/>
      <c r="Q172" s="9" t="n"/>
      <c r="R172" s="8" t="n"/>
      <c r="S172" s="11">
        <f>IF(R172="","",R172+IF(T172=0,3,IF(T172=1,7,IF(T172=2,21,45))))</f>
        <v/>
      </c>
      <c r="T172" s="9" t="n"/>
      <c r="U172" s="6">
        <f>IF(B172="","",LOWER(TRIM(B172)))</f>
        <v/>
      </c>
      <c r="V172" s="6">
        <f>IF(AND(U172&lt;&gt;"",OR(J172="Solved independently",J172="Solved with hints",J172="Solved after viewing solution"),COUNTIFS($U$2:U171,U172,$V$2:V171,1)=0),1,0)</f>
        <v/>
      </c>
      <c r="W172" s="6">
        <f>IF(AND(U172&lt;&gt;"",COUNTIF($U$2:$U$300,U172)&gt;1),"DUPLICATE KEY","")</f>
        <v/>
      </c>
    </row>
    <row r="173">
      <c r="A173" s="6" t="n">
        <v>172</v>
      </c>
      <c r="B173" s="6" t="inlineStr">
        <is>
          <t>Partition Equal Subset Sum</t>
        </is>
      </c>
      <c r="C173" s="6" t="inlineStr">
        <is>
          <t>LeetCode</t>
        </is>
      </c>
      <c r="D173" s="7" t="inlineStr">
        <is>
          <t>Open</t>
        </is>
      </c>
      <c r="E173" s="6" t="inlineStr">
        <is>
          <t>Dynamic programming</t>
        </is>
      </c>
      <c r="F173" s="6" t="inlineStr">
        <is>
          <t>Medium</t>
        </is>
      </c>
      <c r="G173" s="6" t="inlineStr">
        <is>
          <t>Essential</t>
        </is>
      </c>
      <c r="H173" s="6" t="n">
        <v>9</v>
      </c>
      <c r="I173" s="8" t="n"/>
      <c r="J173" s="9" t="inlineStr">
        <is>
          <t>Not started</t>
        </is>
      </c>
      <c r="K173" s="6">
        <f>IF(J173="Solved independently","Yes",IF(OR(J173="",J173="Not started"),"","No"))</f>
        <v/>
      </c>
      <c r="L173" s="9" t="n"/>
      <c r="M173" s="9" t="n"/>
      <c r="N173" s="9" t="n"/>
      <c r="O173" s="9" t="n"/>
      <c r="P173" s="10" t="n"/>
      <c r="Q173" s="9" t="n"/>
      <c r="R173" s="8" t="n"/>
      <c r="S173" s="11">
        <f>IF(R173="","",R173+IF(T173=0,3,IF(T173=1,7,IF(T173=2,21,45))))</f>
        <v/>
      </c>
      <c r="T173" s="9" t="n"/>
      <c r="U173" s="6">
        <f>IF(B173="","",LOWER(TRIM(B173)))</f>
        <v/>
      </c>
      <c r="V173" s="6">
        <f>IF(AND(U173&lt;&gt;"",OR(J173="Solved independently",J173="Solved with hints",J173="Solved after viewing solution"),COUNTIFS($U$2:U172,U173,$V$2:V172,1)=0),1,0)</f>
        <v/>
      </c>
      <c r="W173" s="6">
        <f>IF(AND(U173&lt;&gt;"",COUNTIF($U$2:$U$300,U173)&gt;1),"DUPLICATE KEY","")</f>
        <v/>
      </c>
    </row>
    <row r="174">
      <c r="A174" s="6" t="n">
        <v>173</v>
      </c>
      <c r="B174" s="6" t="inlineStr">
        <is>
          <t>Target Sum</t>
        </is>
      </c>
      <c r="C174" s="6" t="inlineStr">
        <is>
          <t>LeetCode</t>
        </is>
      </c>
      <c r="D174" s="7" t="inlineStr">
        <is>
          <t>Open</t>
        </is>
      </c>
      <c r="E174" s="6" t="inlineStr">
        <is>
          <t>Dynamic programming</t>
        </is>
      </c>
      <c r="F174" s="6" t="inlineStr">
        <is>
          <t>Medium</t>
        </is>
      </c>
      <c r="G174" s="6" t="inlineStr">
        <is>
          <t>Optional</t>
        </is>
      </c>
      <c r="H174" s="6" t="n">
        <v>9</v>
      </c>
      <c r="I174" s="8" t="n"/>
      <c r="J174" s="9" t="inlineStr">
        <is>
          <t>Not started</t>
        </is>
      </c>
      <c r="K174" s="6">
        <f>IF(J174="Solved independently","Yes",IF(OR(J174="",J174="Not started"),"","No"))</f>
        <v/>
      </c>
      <c r="L174" s="9" t="n"/>
      <c r="M174" s="9" t="n"/>
      <c r="N174" s="9" t="n"/>
      <c r="O174" s="9" t="n"/>
      <c r="P174" s="10" t="n"/>
      <c r="Q174" s="9" t="n"/>
      <c r="R174" s="8" t="n"/>
      <c r="S174" s="11">
        <f>IF(R174="","",R174+IF(T174=0,3,IF(T174=1,7,IF(T174=2,21,45))))</f>
        <v/>
      </c>
      <c r="T174" s="9" t="n"/>
      <c r="U174" s="6">
        <f>IF(B174="","",LOWER(TRIM(B174)))</f>
        <v/>
      </c>
      <c r="V174" s="6">
        <f>IF(AND(U174&lt;&gt;"",OR(J174="Solved independently",J174="Solved with hints",J174="Solved after viewing solution"),COUNTIFS($U$2:U173,U174,$V$2:V173,1)=0),1,0)</f>
        <v/>
      </c>
      <c r="W174" s="6">
        <f>IF(AND(U174&lt;&gt;"",COUNTIF($U$2:$U$300,U174)&gt;1),"DUPLICATE KEY","")</f>
        <v/>
      </c>
    </row>
    <row r="175">
      <c r="A175" s="6" t="n">
        <v>174</v>
      </c>
      <c r="B175" s="6" t="inlineStr">
        <is>
          <t>Longest Palindromic Substring</t>
        </is>
      </c>
      <c r="C175" s="6" t="inlineStr">
        <is>
          <t>LeetCode</t>
        </is>
      </c>
      <c r="D175" s="7" t="inlineStr">
        <is>
          <t>Open</t>
        </is>
      </c>
      <c r="E175" s="6" t="inlineStr">
        <is>
          <t>Dynamic programming</t>
        </is>
      </c>
      <c r="F175" s="6" t="inlineStr">
        <is>
          <t>Medium</t>
        </is>
      </c>
      <c r="G175" s="6" t="inlineStr">
        <is>
          <t>Essential</t>
        </is>
      </c>
      <c r="H175" s="6" t="n">
        <v>9</v>
      </c>
      <c r="I175" s="8" t="n"/>
      <c r="J175" s="9" t="inlineStr">
        <is>
          <t>Not started</t>
        </is>
      </c>
      <c r="K175" s="6">
        <f>IF(J175="Solved independently","Yes",IF(OR(J175="",J175="Not started"),"","No"))</f>
        <v/>
      </c>
      <c r="L175" s="9" t="n"/>
      <c r="M175" s="9" t="n"/>
      <c r="N175" s="9" t="n"/>
      <c r="O175" s="9" t="n"/>
      <c r="P175" s="10" t="n"/>
      <c r="Q175" s="9" t="n"/>
      <c r="R175" s="8" t="n"/>
      <c r="S175" s="11">
        <f>IF(R175="","",R175+IF(T175=0,3,IF(T175=1,7,IF(T175=2,21,45))))</f>
        <v/>
      </c>
      <c r="T175" s="9" t="n"/>
      <c r="U175" s="6">
        <f>IF(B175="","",LOWER(TRIM(B175)))</f>
        <v/>
      </c>
      <c r="V175" s="6">
        <f>IF(AND(U175&lt;&gt;"",OR(J175="Solved independently",J175="Solved with hints",J175="Solved after viewing solution"),COUNTIFS($U$2:U174,U175,$V$2:V174,1)=0),1,0)</f>
        <v/>
      </c>
      <c r="W175" s="6">
        <f>IF(AND(U175&lt;&gt;"",COUNTIF($U$2:$U$300,U175)&gt;1),"DUPLICATE KEY","")</f>
        <v/>
      </c>
    </row>
    <row r="176">
      <c r="A176" s="6" t="n">
        <v>175</v>
      </c>
      <c r="B176" s="6" t="inlineStr">
        <is>
          <t>Palindromic Substrings</t>
        </is>
      </c>
      <c r="C176" s="6" t="inlineStr">
        <is>
          <t>LeetCode</t>
        </is>
      </c>
      <c r="D176" s="7" t="inlineStr">
        <is>
          <t>Open</t>
        </is>
      </c>
      <c r="E176" s="6" t="inlineStr">
        <is>
          <t>Dynamic programming</t>
        </is>
      </c>
      <c r="F176" s="6" t="inlineStr">
        <is>
          <t>Medium</t>
        </is>
      </c>
      <c r="G176" s="6" t="inlineStr">
        <is>
          <t>Recommended</t>
        </is>
      </c>
      <c r="H176" s="6" t="n">
        <v>9</v>
      </c>
      <c r="I176" s="8" t="n"/>
      <c r="J176" s="9" t="inlineStr">
        <is>
          <t>Not started</t>
        </is>
      </c>
      <c r="K176" s="6">
        <f>IF(J176="Solved independently","Yes",IF(OR(J176="",J176="Not started"),"","No"))</f>
        <v/>
      </c>
      <c r="L176" s="9" t="n"/>
      <c r="M176" s="9" t="n"/>
      <c r="N176" s="9" t="n"/>
      <c r="O176" s="9" t="n"/>
      <c r="P176" s="10" t="n"/>
      <c r="Q176" s="9" t="n"/>
      <c r="R176" s="8" t="n"/>
      <c r="S176" s="11">
        <f>IF(R176="","",R176+IF(T176=0,3,IF(T176=1,7,IF(T176=2,21,45))))</f>
        <v/>
      </c>
      <c r="T176" s="9" t="n"/>
      <c r="U176" s="6">
        <f>IF(B176="","",LOWER(TRIM(B176)))</f>
        <v/>
      </c>
      <c r="V176" s="6">
        <f>IF(AND(U176&lt;&gt;"",OR(J176="Solved independently",J176="Solved with hints",J176="Solved after viewing solution"),COUNTIFS($U$2:U175,U176,$V$2:V175,1)=0),1,0)</f>
        <v/>
      </c>
      <c r="W176" s="6">
        <f>IF(AND(U176&lt;&gt;"",COUNTIF($U$2:$U$300,U176)&gt;1),"DUPLICATE KEY","")</f>
        <v/>
      </c>
    </row>
    <row r="177">
      <c r="A177" s="6" t="n">
        <v>176</v>
      </c>
      <c r="B177" s="6" t="inlineStr">
        <is>
          <t>Edit Distance</t>
        </is>
      </c>
      <c r="C177" s="6" t="inlineStr">
        <is>
          <t>LeetCode</t>
        </is>
      </c>
      <c r="D177" s="7" t="inlineStr">
        <is>
          <t>Open</t>
        </is>
      </c>
      <c r="E177" s="6" t="inlineStr">
        <is>
          <t>Dynamic programming</t>
        </is>
      </c>
      <c r="F177" s="6" t="inlineStr">
        <is>
          <t>Medium</t>
        </is>
      </c>
      <c r="G177" s="6" t="inlineStr">
        <is>
          <t>Recommended</t>
        </is>
      </c>
      <c r="H177" s="6" t="n">
        <v>9</v>
      </c>
      <c r="I177" s="8" t="n"/>
      <c r="J177" s="9" t="inlineStr">
        <is>
          <t>Not started</t>
        </is>
      </c>
      <c r="K177" s="6">
        <f>IF(J177="Solved independently","Yes",IF(OR(J177="",J177="Not started"),"","No"))</f>
        <v/>
      </c>
      <c r="L177" s="9" t="n"/>
      <c r="M177" s="9" t="n"/>
      <c r="N177" s="9" t="n"/>
      <c r="O177" s="9" t="n"/>
      <c r="P177" s="10" t="n"/>
      <c r="Q177" s="9" t="n"/>
      <c r="R177" s="8" t="n"/>
      <c r="S177" s="11">
        <f>IF(R177="","",R177+IF(T177=0,3,IF(T177=1,7,IF(T177=2,21,45))))</f>
        <v/>
      </c>
      <c r="T177" s="9" t="n"/>
      <c r="U177" s="6">
        <f>IF(B177="","",LOWER(TRIM(B177)))</f>
        <v/>
      </c>
      <c r="V177" s="6">
        <f>IF(AND(U177&lt;&gt;"",OR(J177="Solved independently",J177="Solved with hints",J177="Solved after viewing solution"),COUNTIFS($U$2:U176,U177,$V$2:V176,1)=0),1,0)</f>
        <v/>
      </c>
      <c r="W177" s="6">
        <f>IF(AND(U177&lt;&gt;"",COUNTIF($U$2:$U$300,U177)&gt;1),"DUPLICATE KEY","")</f>
        <v/>
      </c>
    </row>
    <row r="178">
      <c r="A178" s="6" t="n">
        <v>177</v>
      </c>
      <c r="B178" s="6" t="inlineStr">
        <is>
          <t>Implement Trie (Prefix Tree)</t>
        </is>
      </c>
      <c r="C178" s="6" t="inlineStr">
        <is>
          <t>LeetCode</t>
        </is>
      </c>
      <c r="D178" s="7" t="inlineStr">
        <is>
          <t>Open</t>
        </is>
      </c>
      <c r="E178" s="6" t="inlineStr">
        <is>
          <t>Tries &amp; advanced structures</t>
        </is>
      </c>
      <c r="F178" s="6" t="inlineStr">
        <is>
          <t>Medium</t>
        </is>
      </c>
      <c r="G178" s="6" t="inlineStr">
        <is>
          <t>Essential</t>
        </is>
      </c>
      <c r="H178" s="6" t="n">
        <v>10</v>
      </c>
      <c r="I178" s="8" t="n"/>
      <c r="J178" s="9" t="inlineStr">
        <is>
          <t>Not started</t>
        </is>
      </c>
      <c r="K178" s="6">
        <f>IF(J178="Solved independently","Yes",IF(OR(J178="",J178="Not started"),"","No"))</f>
        <v/>
      </c>
      <c r="L178" s="9" t="n"/>
      <c r="M178" s="9" t="n"/>
      <c r="N178" s="9" t="n"/>
      <c r="O178" s="9" t="n"/>
      <c r="P178" s="10" t="n"/>
      <c r="Q178" s="9" t="n"/>
      <c r="R178" s="8" t="n"/>
      <c r="S178" s="11">
        <f>IF(R178="","",R178+IF(T178=0,3,IF(T178=1,7,IF(T178=2,21,45))))</f>
        <v/>
      </c>
      <c r="T178" s="9" t="n"/>
      <c r="U178" s="6">
        <f>IF(B178="","",LOWER(TRIM(B178)))</f>
        <v/>
      </c>
      <c r="V178" s="6">
        <f>IF(AND(U178&lt;&gt;"",OR(J178="Solved independently",J178="Solved with hints",J178="Solved after viewing solution"),COUNTIFS($U$2:U177,U178,$V$2:V177,1)=0),1,0)</f>
        <v/>
      </c>
      <c r="W178" s="6">
        <f>IF(AND(U178&lt;&gt;"",COUNTIF($U$2:$U$300,U178)&gt;1),"DUPLICATE KEY","")</f>
        <v/>
      </c>
    </row>
    <row r="179">
      <c r="A179" s="6" t="n">
        <v>178</v>
      </c>
      <c r="B179" s="6" t="inlineStr">
        <is>
          <t>Design Add and Search Words Data Structure</t>
        </is>
      </c>
      <c r="C179" s="6" t="inlineStr">
        <is>
          <t>LeetCode</t>
        </is>
      </c>
      <c r="D179" s="7" t="inlineStr">
        <is>
          <t>Open</t>
        </is>
      </c>
      <c r="E179" s="6" t="inlineStr">
        <is>
          <t>Tries &amp; advanced structures</t>
        </is>
      </c>
      <c r="F179" s="6" t="inlineStr">
        <is>
          <t>Medium</t>
        </is>
      </c>
      <c r="G179" s="6" t="inlineStr">
        <is>
          <t>Recommended</t>
        </is>
      </c>
      <c r="H179" s="6" t="n">
        <v>10</v>
      </c>
      <c r="I179" s="8" t="n"/>
      <c r="J179" s="9" t="inlineStr">
        <is>
          <t>Not started</t>
        </is>
      </c>
      <c r="K179" s="6">
        <f>IF(J179="Solved independently","Yes",IF(OR(J179="",J179="Not started"),"","No"))</f>
        <v/>
      </c>
      <c r="L179" s="9" t="n"/>
      <c r="M179" s="9" t="n"/>
      <c r="N179" s="9" t="n"/>
      <c r="O179" s="9" t="n"/>
      <c r="P179" s="10" t="n"/>
      <c r="Q179" s="9" t="n"/>
      <c r="R179" s="8" t="n"/>
      <c r="S179" s="11">
        <f>IF(R179="","",R179+IF(T179=0,3,IF(T179=1,7,IF(T179=2,21,45))))</f>
        <v/>
      </c>
      <c r="T179" s="9" t="n"/>
      <c r="U179" s="6">
        <f>IF(B179="","",LOWER(TRIM(B179)))</f>
        <v/>
      </c>
      <c r="V179" s="6">
        <f>IF(AND(U179&lt;&gt;"",OR(J179="Solved independently",J179="Solved with hints",J179="Solved after viewing solution"),COUNTIFS($U$2:U178,U179,$V$2:V178,1)=0),1,0)</f>
        <v/>
      </c>
      <c r="W179" s="6">
        <f>IF(AND(U179&lt;&gt;"",COUNTIF($U$2:$U$300,U179)&gt;1),"DUPLICATE KEY","")</f>
        <v/>
      </c>
    </row>
    <row r="180">
      <c r="A180" s="6" t="n">
        <v>179</v>
      </c>
      <c r="B180" s="6" t="inlineStr">
        <is>
          <t>Word Search II</t>
        </is>
      </c>
      <c r="C180" s="6" t="inlineStr">
        <is>
          <t>LeetCode</t>
        </is>
      </c>
      <c r="D180" s="7" t="inlineStr">
        <is>
          <t>Open</t>
        </is>
      </c>
      <c r="E180" s="6" t="inlineStr">
        <is>
          <t>Tries &amp; advanced structures</t>
        </is>
      </c>
      <c r="F180" s="6" t="inlineStr">
        <is>
          <t>Hard</t>
        </is>
      </c>
      <c r="G180" s="6" t="inlineStr">
        <is>
          <t>Optional</t>
        </is>
      </c>
      <c r="H180" s="6" t="n">
        <v>10</v>
      </c>
      <c r="I180" s="8" t="n"/>
      <c r="J180" s="9" t="inlineStr">
        <is>
          <t>Not started</t>
        </is>
      </c>
      <c r="K180" s="6">
        <f>IF(J180="Solved independently","Yes",IF(OR(J180="",J180="Not started"),"","No"))</f>
        <v/>
      </c>
      <c r="L180" s="9" t="n"/>
      <c r="M180" s="9" t="n"/>
      <c r="N180" s="9" t="n"/>
      <c r="O180" s="9" t="n"/>
      <c r="P180" s="10" t="n"/>
      <c r="Q180" s="9" t="n"/>
      <c r="R180" s="8" t="n"/>
      <c r="S180" s="11">
        <f>IF(R180="","",R180+IF(T180=0,3,IF(T180=1,7,IF(T180=2,21,45))))</f>
        <v/>
      </c>
      <c r="T180" s="9" t="n"/>
      <c r="U180" s="6">
        <f>IF(B180="","",LOWER(TRIM(B180)))</f>
        <v/>
      </c>
      <c r="V180" s="6">
        <f>IF(AND(U180&lt;&gt;"",OR(J180="Solved independently",J180="Solved with hints",J180="Solved after viewing solution"),COUNTIFS($U$2:U179,U180,$V$2:V179,1)=0),1,0)</f>
        <v/>
      </c>
      <c r="W180" s="6">
        <f>IF(AND(U180&lt;&gt;"",COUNTIF($U$2:$U$300,U180)&gt;1),"DUPLICATE KEY","")</f>
        <v/>
      </c>
    </row>
    <row r="181">
      <c r="A181" s="6" t="n"/>
      <c r="B181" s="9" t="n"/>
      <c r="C181" s="9" t="n"/>
      <c r="D181" s="6" t="n"/>
      <c r="E181" s="9" t="n"/>
      <c r="F181" s="9" t="n"/>
      <c r="G181" s="9" t="n"/>
      <c r="H181" s="6" t="n"/>
      <c r="I181" s="8" t="n"/>
      <c r="J181" s="9" t="inlineStr">
        <is>
          <t>Not started</t>
        </is>
      </c>
      <c r="K181" s="6">
        <f>IF(J181="Solved independently","Yes",IF(OR(J181="",J181="Not started"),"","No"))</f>
        <v/>
      </c>
      <c r="L181" s="9" t="n"/>
      <c r="M181" s="9" t="n"/>
      <c r="N181" s="9" t="n"/>
      <c r="O181" s="9" t="n"/>
      <c r="P181" s="10" t="n"/>
      <c r="Q181" s="9" t="n"/>
      <c r="R181" s="8" t="n"/>
      <c r="S181" s="11">
        <f>IF(R181="","",R181+IF(T181=0,3,IF(T181=1,7,IF(T181=2,21,45))))</f>
        <v/>
      </c>
      <c r="T181" s="9" t="n"/>
      <c r="U181" s="6">
        <f>IF(B181="","",LOWER(TRIM(B181)))</f>
        <v/>
      </c>
      <c r="V181" s="6">
        <f>IF(AND(U181&lt;&gt;"",OR(J181="Solved independently",J181="Solved with hints",J181="Solved after viewing solution"),COUNTIFS($U$2:U180,U181,$V$2:V180,1)=0),1,0)</f>
        <v/>
      </c>
      <c r="W181" s="6">
        <f>IF(AND(U181&lt;&gt;"",COUNTIF($U$2:$U$300,U181)&gt;1),"DUPLICATE KEY","")</f>
        <v/>
      </c>
    </row>
    <row r="182">
      <c r="A182" s="6" t="n"/>
      <c r="B182" s="9" t="n"/>
      <c r="C182" s="9" t="n"/>
      <c r="D182" s="6" t="n"/>
      <c r="E182" s="9" t="n"/>
      <c r="F182" s="9" t="n"/>
      <c r="G182" s="9" t="n"/>
      <c r="H182" s="6" t="n"/>
      <c r="I182" s="8" t="n"/>
      <c r="J182" s="9" t="inlineStr">
        <is>
          <t>Not started</t>
        </is>
      </c>
      <c r="K182" s="6">
        <f>IF(J182="Solved independently","Yes",IF(OR(J182="",J182="Not started"),"","No"))</f>
        <v/>
      </c>
      <c r="L182" s="9" t="n"/>
      <c r="M182" s="9" t="n"/>
      <c r="N182" s="9" t="n"/>
      <c r="O182" s="9" t="n"/>
      <c r="P182" s="10" t="n"/>
      <c r="Q182" s="9" t="n"/>
      <c r="R182" s="8" t="n"/>
      <c r="S182" s="11">
        <f>IF(R182="","",R182+IF(T182=0,3,IF(T182=1,7,IF(T182=2,21,45))))</f>
        <v/>
      </c>
      <c r="T182" s="9" t="n"/>
      <c r="U182" s="6">
        <f>IF(B182="","",LOWER(TRIM(B182)))</f>
        <v/>
      </c>
      <c r="V182" s="6">
        <f>IF(AND(U182&lt;&gt;"",OR(J182="Solved independently",J182="Solved with hints",J182="Solved after viewing solution"),COUNTIFS($U$2:U181,U182,$V$2:V181,1)=0),1,0)</f>
        <v/>
      </c>
      <c r="W182" s="6">
        <f>IF(AND(U182&lt;&gt;"",COUNTIF($U$2:$U$300,U182)&gt;1),"DUPLICATE KEY","")</f>
        <v/>
      </c>
    </row>
    <row r="183">
      <c r="A183" s="6" t="n"/>
      <c r="B183" s="9" t="n"/>
      <c r="C183" s="9" t="n"/>
      <c r="D183" s="6" t="n"/>
      <c r="E183" s="9" t="n"/>
      <c r="F183" s="9" t="n"/>
      <c r="G183" s="9" t="n"/>
      <c r="H183" s="6" t="n"/>
      <c r="I183" s="8" t="n"/>
      <c r="J183" s="9" t="inlineStr">
        <is>
          <t>Not started</t>
        </is>
      </c>
      <c r="K183" s="6">
        <f>IF(J183="Solved independently","Yes",IF(OR(J183="",J183="Not started"),"","No"))</f>
        <v/>
      </c>
      <c r="L183" s="9" t="n"/>
      <c r="M183" s="9" t="n"/>
      <c r="N183" s="9" t="n"/>
      <c r="O183" s="9" t="n"/>
      <c r="P183" s="10" t="n"/>
      <c r="Q183" s="9" t="n"/>
      <c r="R183" s="8" t="n"/>
      <c r="S183" s="11">
        <f>IF(R183="","",R183+IF(T183=0,3,IF(T183=1,7,IF(T183=2,21,45))))</f>
        <v/>
      </c>
      <c r="T183" s="9" t="n"/>
      <c r="U183" s="6">
        <f>IF(B183="","",LOWER(TRIM(B183)))</f>
        <v/>
      </c>
      <c r="V183" s="6">
        <f>IF(AND(U183&lt;&gt;"",OR(J183="Solved independently",J183="Solved with hints",J183="Solved after viewing solution"),COUNTIFS($U$2:U182,U183,$V$2:V182,1)=0),1,0)</f>
        <v/>
      </c>
      <c r="W183" s="6">
        <f>IF(AND(U183&lt;&gt;"",COUNTIF($U$2:$U$300,U183)&gt;1),"DUPLICATE KEY","")</f>
        <v/>
      </c>
    </row>
    <row r="184">
      <c r="A184" s="6" t="n"/>
      <c r="B184" s="9" t="n"/>
      <c r="C184" s="9" t="n"/>
      <c r="D184" s="6" t="n"/>
      <c r="E184" s="9" t="n"/>
      <c r="F184" s="9" t="n"/>
      <c r="G184" s="9" t="n"/>
      <c r="H184" s="6" t="n"/>
      <c r="I184" s="8" t="n"/>
      <c r="J184" s="9" t="inlineStr">
        <is>
          <t>Not started</t>
        </is>
      </c>
      <c r="K184" s="6">
        <f>IF(J184="Solved independently","Yes",IF(OR(J184="",J184="Not started"),"","No"))</f>
        <v/>
      </c>
      <c r="L184" s="9" t="n"/>
      <c r="M184" s="9" t="n"/>
      <c r="N184" s="9" t="n"/>
      <c r="O184" s="9" t="n"/>
      <c r="P184" s="10" t="n"/>
      <c r="Q184" s="9" t="n"/>
      <c r="R184" s="8" t="n"/>
      <c r="S184" s="11">
        <f>IF(R184="","",R184+IF(T184=0,3,IF(T184=1,7,IF(T184=2,21,45))))</f>
        <v/>
      </c>
      <c r="T184" s="9" t="n"/>
      <c r="U184" s="6">
        <f>IF(B184="","",LOWER(TRIM(B184)))</f>
        <v/>
      </c>
      <c r="V184" s="6">
        <f>IF(AND(U184&lt;&gt;"",OR(J184="Solved independently",J184="Solved with hints",J184="Solved after viewing solution"),COUNTIFS($U$2:U183,U184,$V$2:V183,1)=0),1,0)</f>
        <v/>
      </c>
      <c r="W184" s="6">
        <f>IF(AND(U184&lt;&gt;"",COUNTIF($U$2:$U$300,U184)&gt;1),"DUPLICATE KEY","")</f>
        <v/>
      </c>
    </row>
    <row r="185">
      <c r="A185" s="6" t="n"/>
      <c r="B185" s="9" t="n"/>
      <c r="C185" s="9" t="n"/>
      <c r="D185" s="6" t="n"/>
      <c r="E185" s="9" t="n"/>
      <c r="F185" s="9" t="n"/>
      <c r="G185" s="9" t="n"/>
      <c r="H185" s="6" t="n"/>
      <c r="I185" s="8" t="n"/>
      <c r="J185" s="9" t="inlineStr">
        <is>
          <t>Not started</t>
        </is>
      </c>
      <c r="K185" s="6">
        <f>IF(J185="Solved independently","Yes",IF(OR(J185="",J185="Not started"),"","No"))</f>
        <v/>
      </c>
      <c r="L185" s="9" t="n"/>
      <c r="M185" s="9" t="n"/>
      <c r="N185" s="9" t="n"/>
      <c r="O185" s="9" t="n"/>
      <c r="P185" s="10" t="n"/>
      <c r="Q185" s="9" t="n"/>
      <c r="R185" s="8" t="n"/>
      <c r="S185" s="11">
        <f>IF(R185="","",R185+IF(T185=0,3,IF(T185=1,7,IF(T185=2,21,45))))</f>
        <v/>
      </c>
      <c r="T185" s="9" t="n"/>
      <c r="U185" s="6">
        <f>IF(B185="","",LOWER(TRIM(B185)))</f>
        <v/>
      </c>
      <c r="V185" s="6">
        <f>IF(AND(U185&lt;&gt;"",OR(J185="Solved independently",J185="Solved with hints",J185="Solved after viewing solution"),COUNTIFS($U$2:U184,U185,$V$2:V184,1)=0),1,0)</f>
        <v/>
      </c>
      <c r="W185" s="6">
        <f>IF(AND(U185&lt;&gt;"",COUNTIF($U$2:$U$300,U185)&gt;1),"DUPLICATE KEY","")</f>
        <v/>
      </c>
    </row>
    <row r="186">
      <c r="A186" s="6" t="n"/>
      <c r="B186" s="9" t="n"/>
      <c r="C186" s="9" t="n"/>
      <c r="D186" s="6" t="n"/>
      <c r="E186" s="9" t="n"/>
      <c r="F186" s="9" t="n"/>
      <c r="G186" s="9" t="n"/>
      <c r="H186" s="6" t="n"/>
      <c r="I186" s="8" t="n"/>
      <c r="J186" s="9" t="inlineStr">
        <is>
          <t>Not started</t>
        </is>
      </c>
      <c r="K186" s="6">
        <f>IF(J186="Solved independently","Yes",IF(OR(J186="",J186="Not started"),"","No"))</f>
        <v/>
      </c>
      <c r="L186" s="9" t="n"/>
      <c r="M186" s="9" t="n"/>
      <c r="N186" s="9" t="n"/>
      <c r="O186" s="9" t="n"/>
      <c r="P186" s="10" t="n"/>
      <c r="Q186" s="9" t="n"/>
      <c r="R186" s="8" t="n"/>
      <c r="S186" s="11">
        <f>IF(R186="","",R186+IF(T186=0,3,IF(T186=1,7,IF(T186=2,21,45))))</f>
        <v/>
      </c>
      <c r="T186" s="9" t="n"/>
      <c r="U186" s="6">
        <f>IF(B186="","",LOWER(TRIM(B186)))</f>
        <v/>
      </c>
      <c r="V186" s="6">
        <f>IF(AND(U186&lt;&gt;"",OR(J186="Solved independently",J186="Solved with hints",J186="Solved after viewing solution"),COUNTIFS($U$2:U185,U186,$V$2:V185,1)=0),1,0)</f>
        <v/>
      </c>
      <c r="W186" s="6">
        <f>IF(AND(U186&lt;&gt;"",COUNTIF($U$2:$U$300,U186)&gt;1),"DUPLICATE KEY","")</f>
        <v/>
      </c>
    </row>
    <row r="187">
      <c r="A187" s="6" t="n"/>
      <c r="B187" s="9" t="n"/>
      <c r="C187" s="9" t="n"/>
      <c r="D187" s="6" t="n"/>
      <c r="E187" s="9" t="n"/>
      <c r="F187" s="9" t="n"/>
      <c r="G187" s="9" t="n"/>
      <c r="H187" s="6" t="n"/>
      <c r="I187" s="8" t="n"/>
      <c r="J187" s="9" t="inlineStr">
        <is>
          <t>Not started</t>
        </is>
      </c>
      <c r="K187" s="6">
        <f>IF(J187="Solved independently","Yes",IF(OR(J187="",J187="Not started"),"","No"))</f>
        <v/>
      </c>
      <c r="L187" s="9" t="n"/>
      <c r="M187" s="9" t="n"/>
      <c r="N187" s="9" t="n"/>
      <c r="O187" s="9" t="n"/>
      <c r="P187" s="10" t="n"/>
      <c r="Q187" s="9" t="n"/>
      <c r="R187" s="8" t="n"/>
      <c r="S187" s="11">
        <f>IF(R187="","",R187+IF(T187=0,3,IF(T187=1,7,IF(T187=2,21,45))))</f>
        <v/>
      </c>
      <c r="T187" s="9" t="n"/>
      <c r="U187" s="6">
        <f>IF(B187="","",LOWER(TRIM(B187)))</f>
        <v/>
      </c>
      <c r="V187" s="6">
        <f>IF(AND(U187&lt;&gt;"",OR(J187="Solved independently",J187="Solved with hints",J187="Solved after viewing solution"),COUNTIFS($U$2:U186,U187,$V$2:V186,1)=0),1,0)</f>
        <v/>
      </c>
      <c r="W187" s="6">
        <f>IF(AND(U187&lt;&gt;"",COUNTIF($U$2:$U$300,U187)&gt;1),"DUPLICATE KEY","")</f>
        <v/>
      </c>
    </row>
    <row r="188">
      <c r="A188" s="6" t="n"/>
      <c r="B188" s="9" t="n"/>
      <c r="C188" s="9" t="n"/>
      <c r="D188" s="6" t="n"/>
      <c r="E188" s="9" t="n"/>
      <c r="F188" s="9" t="n"/>
      <c r="G188" s="9" t="n"/>
      <c r="H188" s="6" t="n"/>
      <c r="I188" s="8" t="n"/>
      <c r="J188" s="9" t="inlineStr">
        <is>
          <t>Not started</t>
        </is>
      </c>
      <c r="K188" s="6">
        <f>IF(J188="Solved independently","Yes",IF(OR(J188="",J188="Not started"),"","No"))</f>
        <v/>
      </c>
      <c r="L188" s="9" t="n"/>
      <c r="M188" s="9" t="n"/>
      <c r="N188" s="9" t="n"/>
      <c r="O188" s="9" t="n"/>
      <c r="P188" s="10" t="n"/>
      <c r="Q188" s="9" t="n"/>
      <c r="R188" s="8" t="n"/>
      <c r="S188" s="11">
        <f>IF(R188="","",R188+IF(T188=0,3,IF(T188=1,7,IF(T188=2,21,45))))</f>
        <v/>
      </c>
      <c r="T188" s="9" t="n"/>
      <c r="U188" s="6">
        <f>IF(B188="","",LOWER(TRIM(B188)))</f>
        <v/>
      </c>
      <c r="V188" s="6">
        <f>IF(AND(U188&lt;&gt;"",OR(J188="Solved independently",J188="Solved with hints",J188="Solved after viewing solution"),COUNTIFS($U$2:U187,U188,$V$2:V187,1)=0),1,0)</f>
        <v/>
      </c>
      <c r="W188" s="6">
        <f>IF(AND(U188&lt;&gt;"",COUNTIF($U$2:$U$300,U188)&gt;1),"DUPLICATE KEY","")</f>
        <v/>
      </c>
    </row>
    <row r="189">
      <c r="A189" s="6" t="n"/>
      <c r="B189" s="9" t="n"/>
      <c r="C189" s="9" t="n"/>
      <c r="D189" s="6" t="n"/>
      <c r="E189" s="9" t="n"/>
      <c r="F189" s="9" t="n"/>
      <c r="G189" s="9" t="n"/>
      <c r="H189" s="6" t="n"/>
      <c r="I189" s="8" t="n"/>
      <c r="J189" s="9" t="inlineStr">
        <is>
          <t>Not started</t>
        </is>
      </c>
      <c r="K189" s="6">
        <f>IF(J189="Solved independently","Yes",IF(OR(J189="",J189="Not started"),"","No"))</f>
        <v/>
      </c>
      <c r="L189" s="9" t="n"/>
      <c r="M189" s="9" t="n"/>
      <c r="N189" s="9" t="n"/>
      <c r="O189" s="9" t="n"/>
      <c r="P189" s="10" t="n"/>
      <c r="Q189" s="9" t="n"/>
      <c r="R189" s="8" t="n"/>
      <c r="S189" s="11">
        <f>IF(R189="","",R189+IF(T189=0,3,IF(T189=1,7,IF(T189=2,21,45))))</f>
        <v/>
      </c>
      <c r="T189" s="9" t="n"/>
      <c r="U189" s="6">
        <f>IF(B189="","",LOWER(TRIM(B189)))</f>
        <v/>
      </c>
      <c r="V189" s="6">
        <f>IF(AND(U189&lt;&gt;"",OR(J189="Solved independently",J189="Solved with hints",J189="Solved after viewing solution"),COUNTIFS($U$2:U188,U189,$V$2:V188,1)=0),1,0)</f>
        <v/>
      </c>
      <c r="W189" s="6">
        <f>IF(AND(U189&lt;&gt;"",COUNTIF($U$2:$U$300,U189)&gt;1),"DUPLICATE KEY","")</f>
        <v/>
      </c>
    </row>
    <row r="190">
      <c r="A190" s="6" t="n"/>
      <c r="B190" s="9" t="n"/>
      <c r="C190" s="9" t="n"/>
      <c r="D190" s="6" t="n"/>
      <c r="E190" s="9" t="n"/>
      <c r="F190" s="9" t="n"/>
      <c r="G190" s="9" t="n"/>
      <c r="H190" s="6" t="n"/>
      <c r="I190" s="8" t="n"/>
      <c r="J190" s="9" t="inlineStr">
        <is>
          <t>Not started</t>
        </is>
      </c>
      <c r="K190" s="6">
        <f>IF(J190="Solved independently","Yes",IF(OR(J190="",J190="Not started"),"","No"))</f>
        <v/>
      </c>
      <c r="L190" s="9" t="n"/>
      <c r="M190" s="9" t="n"/>
      <c r="N190" s="9" t="n"/>
      <c r="O190" s="9" t="n"/>
      <c r="P190" s="10" t="n"/>
      <c r="Q190" s="9" t="n"/>
      <c r="R190" s="8" t="n"/>
      <c r="S190" s="11">
        <f>IF(R190="","",R190+IF(T190=0,3,IF(T190=1,7,IF(T190=2,21,45))))</f>
        <v/>
      </c>
      <c r="T190" s="9" t="n"/>
      <c r="U190" s="6">
        <f>IF(B190="","",LOWER(TRIM(B190)))</f>
        <v/>
      </c>
      <c r="V190" s="6">
        <f>IF(AND(U190&lt;&gt;"",OR(J190="Solved independently",J190="Solved with hints",J190="Solved after viewing solution"),COUNTIFS($U$2:U189,U190,$V$2:V189,1)=0),1,0)</f>
        <v/>
      </c>
      <c r="W190" s="6">
        <f>IF(AND(U190&lt;&gt;"",COUNTIF($U$2:$U$300,U190)&gt;1),"DUPLICATE KEY","")</f>
        <v/>
      </c>
    </row>
    <row r="191">
      <c r="A191" s="6" t="n"/>
      <c r="B191" s="9" t="n"/>
      <c r="C191" s="9" t="n"/>
      <c r="D191" s="6" t="n"/>
      <c r="E191" s="9" t="n"/>
      <c r="F191" s="9" t="n"/>
      <c r="G191" s="9" t="n"/>
      <c r="H191" s="6" t="n"/>
      <c r="I191" s="8" t="n"/>
      <c r="J191" s="9" t="inlineStr">
        <is>
          <t>Not started</t>
        </is>
      </c>
      <c r="K191" s="6">
        <f>IF(J191="Solved independently","Yes",IF(OR(J191="",J191="Not started"),"","No"))</f>
        <v/>
      </c>
      <c r="L191" s="9" t="n"/>
      <c r="M191" s="9" t="n"/>
      <c r="N191" s="9" t="n"/>
      <c r="O191" s="9" t="n"/>
      <c r="P191" s="10" t="n"/>
      <c r="Q191" s="9" t="n"/>
      <c r="R191" s="8" t="n"/>
      <c r="S191" s="11">
        <f>IF(R191="","",R191+IF(T191=0,3,IF(T191=1,7,IF(T191=2,21,45))))</f>
        <v/>
      </c>
      <c r="T191" s="9" t="n"/>
      <c r="U191" s="6">
        <f>IF(B191="","",LOWER(TRIM(B191)))</f>
        <v/>
      </c>
      <c r="V191" s="6">
        <f>IF(AND(U191&lt;&gt;"",OR(J191="Solved independently",J191="Solved with hints",J191="Solved after viewing solution"),COUNTIFS($U$2:U190,U191,$V$2:V190,1)=0),1,0)</f>
        <v/>
      </c>
      <c r="W191" s="6">
        <f>IF(AND(U191&lt;&gt;"",COUNTIF($U$2:$U$300,U191)&gt;1),"DUPLICATE KEY","")</f>
        <v/>
      </c>
    </row>
    <row r="192">
      <c r="A192" s="6" t="n"/>
      <c r="B192" s="9" t="n"/>
      <c r="C192" s="9" t="n"/>
      <c r="D192" s="6" t="n"/>
      <c r="E192" s="9" t="n"/>
      <c r="F192" s="9" t="n"/>
      <c r="G192" s="9" t="n"/>
      <c r="H192" s="6" t="n"/>
      <c r="I192" s="8" t="n"/>
      <c r="J192" s="9" t="inlineStr">
        <is>
          <t>Not started</t>
        </is>
      </c>
      <c r="K192" s="6">
        <f>IF(J192="Solved independently","Yes",IF(OR(J192="",J192="Not started"),"","No"))</f>
        <v/>
      </c>
      <c r="L192" s="9" t="n"/>
      <c r="M192" s="9" t="n"/>
      <c r="N192" s="9" t="n"/>
      <c r="O192" s="9" t="n"/>
      <c r="P192" s="10" t="n"/>
      <c r="Q192" s="9" t="n"/>
      <c r="R192" s="8" t="n"/>
      <c r="S192" s="11">
        <f>IF(R192="","",R192+IF(T192=0,3,IF(T192=1,7,IF(T192=2,21,45))))</f>
        <v/>
      </c>
      <c r="T192" s="9" t="n"/>
      <c r="U192" s="6">
        <f>IF(B192="","",LOWER(TRIM(B192)))</f>
        <v/>
      </c>
      <c r="V192" s="6">
        <f>IF(AND(U192&lt;&gt;"",OR(J192="Solved independently",J192="Solved with hints",J192="Solved after viewing solution"),COUNTIFS($U$2:U191,U192,$V$2:V191,1)=0),1,0)</f>
        <v/>
      </c>
      <c r="W192" s="6">
        <f>IF(AND(U192&lt;&gt;"",COUNTIF($U$2:$U$300,U192)&gt;1),"DUPLICATE KEY","")</f>
        <v/>
      </c>
    </row>
    <row r="193">
      <c r="A193" s="6" t="n"/>
      <c r="B193" s="9" t="n"/>
      <c r="C193" s="9" t="n"/>
      <c r="D193" s="6" t="n"/>
      <c r="E193" s="9" t="n"/>
      <c r="F193" s="9" t="n"/>
      <c r="G193" s="9" t="n"/>
      <c r="H193" s="6" t="n"/>
      <c r="I193" s="8" t="n"/>
      <c r="J193" s="9" t="inlineStr">
        <is>
          <t>Not started</t>
        </is>
      </c>
      <c r="K193" s="6">
        <f>IF(J193="Solved independently","Yes",IF(OR(J193="",J193="Not started"),"","No"))</f>
        <v/>
      </c>
      <c r="L193" s="9" t="n"/>
      <c r="M193" s="9" t="n"/>
      <c r="N193" s="9" t="n"/>
      <c r="O193" s="9" t="n"/>
      <c r="P193" s="10" t="n"/>
      <c r="Q193" s="9" t="n"/>
      <c r="R193" s="8" t="n"/>
      <c r="S193" s="11">
        <f>IF(R193="","",R193+IF(T193=0,3,IF(T193=1,7,IF(T193=2,21,45))))</f>
        <v/>
      </c>
      <c r="T193" s="9" t="n"/>
      <c r="U193" s="6">
        <f>IF(B193="","",LOWER(TRIM(B193)))</f>
        <v/>
      </c>
      <c r="V193" s="6">
        <f>IF(AND(U193&lt;&gt;"",OR(J193="Solved independently",J193="Solved with hints",J193="Solved after viewing solution"),COUNTIFS($U$2:U192,U193,$V$2:V192,1)=0),1,0)</f>
        <v/>
      </c>
      <c r="W193" s="6">
        <f>IF(AND(U193&lt;&gt;"",COUNTIF($U$2:$U$300,U193)&gt;1),"DUPLICATE KEY","")</f>
        <v/>
      </c>
    </row>
    <row r="194">
      <c r="A194" s="6" t="n"/>
      <c r="B194" s="9" t="n"/>
      <c r="C194" s="9" t="n"/>
      <c r="D194" s="6" t="n"/>
      <c r="E194" s="9" t="n"/>
      <c r="F194" s="9" t="n"/>
      <c r="G194" s="9" t="n"/>
      <c r="H194" s="6" t="n"/>
      <c r="I194" s="8" t="n"/>
      <c r="J194" s="9" t="inlineStr">
        <is>
          <t>Not started</t>
        </is>
      </c>
      <c r="K194" s="6">
        <f>IF(J194="Solved independently","Yes",IF(OR(J194="",J194="Not started"),"","No"))</f>
        <v/>
      </c>
      <c r="L194" s="9" t="n"/>
      <c r="M194" s="9" t="n"/>
      <c r="N194" s="9" t="n"/>
      <c r="O194" s="9" t="n"/>
      <c r="P194" s="10" t="n"/>
      <c r="Q194" s="9" t="n"/>
      <c r="R194" s="8" t="n"/>
      <c r="S194" s="11">
        <f>IF(R194="","",R194+IF(T194=0,3,IF(T194=1,7,IF(T194=2,21,45))))</f>
        <v/>
      </c>
      <c r="T194" s="9" t="n"/>
      <c r="U194" s="6">
        <f>IF(B194="","",LOWER(TRIM(B194)))</f>
        <v/>
      </c>
      <c r="V194" s="6">
        <f>IF(AND(U194&lt;&gt;"",OR(J194="Solved independently",J194="Solved with hints",J194="Solved after viewing solution"),COUNTIFS($U$2:U193,U194,$V$2:V193,1)=0),1,0)</f>
        <v/>
      </c>
      <c r="W194" s="6">
        <f>IF(AND(U194&lt;&gt;"",COUNTIF($U$2:$U$300,U194)&gt;1),"DUPLICATE KEY","")</f>
        <v/>
      </c>
    </row>
    <row r="195">
      <c r="A195" s="6" t="n"/>
      <c r="B195" s="9" t="n"/>
      <c r="C195" s="9" t="n"/>
      <c r="D195" s="6" t="n"/>
      <c r="E195" s="9" t="n"/>
      <c r="F195" s="9" t="n"/>
      <c r="G195" s="9" t="n"/>
      <c r="H195" s="6" t="n"/>
      <c r="I195" s="8" t="n"/>
      <c r="J195" s="9" t="inlineStr">
        <is>
          <t>Not started</t>
        </is>
      </c>
      <c r="K195" s="6">
        <f>IF(J195="Solved independently","Yes",IF(OR(J195="",J195="Not started"),"","No"))</f>
        <v/>
      </c>
      <c r="L195" s="9" t="n"/>
      <c r="M195" s="9" t="n"/>
      <c r="N195" s="9" t="n"/>
      <c r="O195" s="9" t="n"/>
      <c r="P195" s="10" t="n"/>
      <c r="Q195" s="9" t="n"/>
      <c r="R195" s="8" t="n"/>
      <c r="S195" s="11">
        <f>IF(R195="","",R195+IF(T195=0,3,IF(T195=1,7,IF(T195=2,21,45))))</f>
        <v/>
      </c>
      <c r="T195" s="9" t="n"/>
      <c r="U195" s="6">
        <f>IF(B195="","",LOWER(TRIM(B195)))</f>
        <v/>
      </c>
      <c r="V195" s="6">
        <f>IF(AND(U195&lt;&gt;"",OR(J195="Solved independently",J195="Solved with hints",J195="Solved after viewing solution"),COUNTIFS($U$2:U194,U195,$V$2:V194,1)=0),1,0)</f>
        <v/>
      </c>
      <c r="W195" s="6">
        <f>IF(AND(U195&lt;&gt;"",COUNTIF($U$2:$U$300,U195)&gt;1),"DUPLICATE KEY","")</f>
        <v/>
      </c>
    </row>
    <row r="196">
      <c r="A196" s="6" t="n"/>
      <c r="B196" s="9" t="n"/>
      <c r="C196" s="9" t="n"/>
      <c r="D196" s="6" t="n"/>
      <c r="E196" s="9" t="n"/>
      <c r="F196" s="9" t="n"/>
      <c r="G196" s="9" t="n"/>
      <c r="H196" s="6" t="n"/>
      <c r="I196" s="8" t="n"/>
      <c r="J196" s="9" t="inlineStr">
        <is>
          <t>Not started</t>
        </is>
      </c>
      <c r="K196" s="6">
        <f>IF(J196="Solved independently","Yes",IF(OR(J196="",J196="Not started"),"","No"))</f>
        <v/>
      </c>
      <c r="L196" s="9" t="n"/>
      <c r="M196" s="9" t="n"/>
      <c r="N196" s="9" t="n"/>
      <c r="O196" s="9" t="n"/>
      <c r="P196" s="10" t="n"/>
      <c r="Q196" s="9" t="n"/>
      <c r="R196" s="8" t="n"/>
      <c r="S196" s="11">
        <f>IF(R196="","",R196+IF(T196=0,3,IF(T196=1,7,IF(T196=2,21,45))))</f>
        <v/>
      </c>
      <c r="T196" s="9" t="n"/>
      <c r="U196" s="6">
        <f>IF(B196="","",LOWER(TRIM(B196)))</f>
        <v/>
      </c>
      <c r="V196" s="6">
        <f>IF(AND(U196&lt;&gt;"",OR(J196="Solved independently",J196="Solved with hints",J196="Solved after viewing solution"),COUNTIFS($U$2:U195,U196,$V$2:V195,1)=0),1,0)</f>
        <v/>
      </c>
      <c r="W196" s="6">
        <f>IF(AND(U196&lt;&gt;"",COUNTIF($U$2:$U$300,U196)&gt;1),"DUPLICATE KEY","")</f>
        <v/>
      </c>
    </row>
    <row r="197">
      <c r="A197" s="6" t="n"/>
      <c r="B197" s="9" t="n"/>
      <c r="C197" s="9" t="n"/>
      <c r="D197" s="6" t="n"/>
      <c r="E197" s="9" t="n"/>
      <c r="F197" s="9" t="n"/>
      <c r="G197" s="9" t="n"/>
      <c r="H197" s="6" t="n"/>
      <c r="I197" s="8" t="n"/>
      <c r="J197" s="9" t="inlineStr">
        <is>
          <t>Not started</t>
        </is>
      </c>
      <c r="K197" s="6">
        <f>IF(J197="Solved independently","Yes",IF(OR(J197="",J197="Not started"),"","No"))</f>
        <v/>
      </c>
      <c r="L197" s="9" t="n"/>
      <c r="M197" s="9" t="n"/>
      <c r="N197" s="9" t="n"/>
      <c r="O197" s="9" t="n"/>
      <c r="P197" s="10" t="n"/>
      <c r="Q197" s="9" t="n"/>
      <c r="R197" s="8" t="n"/>
      <c r="S197" s="11">
        <f>IF(R197="","",R197+IF(T197=0,3,IF(T197=1,7,IF(T197=2,21,45))))</f>
        <v/>
      </c>
      <c r="T197" s="9" t="n"/>
      <c r="U197" s="6">
        <f>IF(B197="","",LOWER(TRIM(B197)))</f>
        <v/>
      </c>
      <c r="V197" s="6">
        <f>IF(AND(U197&lt;&gt;"",OR(J197="Solved independently",J197="Solved with hints",J197="Solved after viewing solution"),COUNTIFS($U$2:U196,U197,$V$2:V196,1)=0),1,0)</f>
        <v/>
      </c>
      <c r="W197" s="6">
        <f>IF(AND(U197&lt;&gt;"",COUNTIF($U$2:$U$300,U197)&gt;1),"DUPLICATE KEY","")</f>
        <v/>
      </c>
    </row>
    <row r="198">
      <c r="A198" s="6" t="n"/>
      <c r="B198" s="9" t="n"/>
      <c r="C198" s="9" t="n"/>
      <c r="D198" s="6" t="n"/>
      <c r="E198" s="9" t="n"/>
      <c r="F198" s="9" t="n"/>
      <c r="G198" s="9" t="n"/>
      <c r="H198" s="6" t="n"/>
      <c r="I198" s="8" t="n"/>
      <c r="J198" s="9" t="inlineStr">
        <is>
          <t>Not started</t>
        </is>
      </c>
      <c r="K198" s="6">
        <f>IF(J198="Solved independently","Yes",IF(OR(J198="",J198="Not started"),"","No"))</f>
        <v/>
      </c>
      <c r="L198" s="9" t="n"/>
      <c r="M198" s="9" t="n"/>
      <c r="N198" s="9" t="n"/>
      <c r="O198" s="9" t="n"/>
      <c r="P198" s="10" t="n"/>
      <c r="Q198" s="9" t="n"/>
      <c r="R198" s="8" t="n"/>
      <c r="S198" s="11">
        <f>IF(R198="","",R198+IF(T198=0,3,IF(T198=1,7,IF(T198=2,21,45))))</f>
        <v/>
      </c>
      <c r="T198" s="9" t="n"/>
      <c r="U198" s="6">
        <f>IF(B198="","",LOWER(TRIM(B198)))</f>
        <v/>
      </c>
      <c r="V198" s="6">
        <f>IF(AND(U198&lt;&gt;"",OR(J198="Solved independently",J198="Solved with hints",J198="Solved after viewing solution"),COUNTIFS($U$2:U197,U198,$V$2:V197,1)=0),1,0)</f>
        <v/>
      </c>
      <c r="W198" s="6">
        <f>IF(AND(U198&lt;&gt;"",COUNTIF($U$2:$U$300,U198)&gt;1),"DUPLICATE KEY","")</f>
        <v/>
      </c>
    </row>
    <row r="199">
      <c r="A199" s="6" t="n"/>
      <c r="B199" s="9" t="n"/>
      <c r="C199" s="9" t="n"/>
      <c r="D199" s="6" t="n"/>
      <c r="E199" s="9" t="n"/>
      <c r="F199" s="9" t="n"/>
      <c r="G199" s="9" t="n"/>
      <c r="H199" s="6" t="n"/>
      <c r="I199" s="8" t="n"/>
      <c r="J199" s="9" t="inlineStr">
        <is>
          <t>Not started</t>
        </is>
      </c>
      <c r="K199" s="6">
        <f>IF(J199="Solved independently","Yes",IF(OR(J199="",J199="Not started"),"","No"))</f>
        <v/>
      </c>
      <c r="L199" s="9" t="n"/>
      <c r="M199" s="9" t="n"/>
      <c r="N199" s="9" t="n"/>
      <c r="O199" s="9" t="n"/>
      <c r="P199" s="10" t="n"/>
      <c r="Q199" s="9" t="n"/>
      <c r="R199" s="8" t="n"/>
      <c r="S199" s="11">
        <f>IF(R199="","",R199+IF(T199=0,3,IF(T199=1,7,IF(T199=2,21,45))))</f>
        <v/>
      </c>
      <c r="T199" s="9" t="n"/>
      <c r="U199" s="6">
        <f>IF(B199="","",LOWER(TRIM(B199)))</f>
        <v/>
      </c>
      <c r="V199" s="6">
        <f>IF(AND(U199&lt;&gt;"",OR(J199="Solved independently",J199="Solved with hints",J199="Solved after viewing solution"),COUNTIFS($U$2:U198,U199,$V$2:V198,1)=0),1,0)</f>
        <v/>
      </c>
      <c r="W199" s="6">
        <f>IF(AND(U199&lt;&gt;"",COUNTIF($U$2:$U$300,U199)&gt;1),"DUPLICATE KEY","")</f>
        <v/>
      </c>
    </row>
    <row r="200">
      <c r="A200" s="6" t="n"/>
      <c r="B200" s="9" t="n"/>
      <c r="C200" s="9" t="n"/>
      <c r="D200" s="6" t="n"/>
      <c r="E200" s="9" t="n"/>
      <c r="F200" s="9" t="n"/>
      <c r="G200" s="9" t="n"/>
      <c r="H200" s="6" t="n"/>
      <c r="I200" s="8" t="n"/>
      <c r="J200" s="9" t="inlineStr">
        <is>
          <t>Not started</t>
        </is>
      </c>
      <c r="K200" s="6">
        <f>IF(J200="Solved independently","Yes",IF(OR(J200="",J200="Not started"),"","No"))</f>
        <v/>
      </c>
      <c r="L200" s="9" t="n"/>
      <c r="M200" s="9" t="n"/>
      <c r="N200" s="9" t="n"/>
      <c r="O200" s="9" t="n"/>
      <c r="P200" s="10" t="n"/>
      <c r="Q200" s="9" t="n"/>
      <c r="R200" s="8" t="n"/>
      <c r="S200" s="11">
        <f>IF(R200="","",R200+IF(T200=0,3,IF(T200=1,7,IF(T200=2,21,45))))</f>
        <v/>
      </c>
      <c r="T200" s="9" t="n"/>
      <c r="U200" s="6">
        <f>IF(B200="","",LOWER(TRIM(B200)))</f>
        <v/>
      </c>
      <c r="V200" s="6">
        <f>IF(AND(U200&lt;&gt;"",OR(J200="Solved independently",J200="Solved with hints",J200="Solved after viewing solution"),COUNTIFS($U$2:U199,U200,$V$2:V199,1)=0),1,0)</f>
        <v/>
      </c>
      <c r="W200" s="6">
        <f>IF(AND(U200&lt;&gt;"",COUNTIF($U$2:$U$300,U200)&gt;1),"DUPLICATE KEY","")</f>
        <v/>
      </c>
    </row>
    <row r="201">
      <c r="A201" s="6" t="n"/>
      <c r="B201" s="9" t="n"/>
      <c r="C201" s="9" t="n"/>
      <c r="D201" s="6" t="n"/>
      <c r="E201" s="9" t="n"/>
      <c r="F201" s="9" t="n"/>
      <c r="G201" s="9" t="n"/>
      <c r="H201" s="6" t="n"/>
      <c r="I201" s="8" t="n"/>
      <c r="J201" s="9" t="inlineStr">
        <is>
          <t>Not started</t>
        </is>
      </c>
      <c r="K201" s="6">
        <f>IF(J201="Solved independently","Yes",IF(OR(J201="",J201="Not started"),"","No"))</f>
        <v/>
      </c>
      <c r="L201" s="9" t="n"/>
      <c r="M201" s="9" t="n"/>
      <c r="N201" s="9" t="n"/>
      <c r="O201" s="9" t="n"/>
      <c r="P201" s="10" t="n"/>
      <c r="Q201" s="9" t="n"/>
      <c r="R201" s="8" t="n"/>
      <c r="S201" s="11">
        <f>IF(R201="","",R201+IF(T201=0,3,IF(T201=1,7,IF(T201=2,21,45))))</f>
        <v/>
      </c>
      <c r="T201" s="9" t="n"/>
      <c r="U201" s="6">
        <f>IF(B201="","",LOWER(TRIM(B201)))</f>
        <v/>
      </c>
      <c r="V201" s="6">
        <f>IF(AND(U201&lt;&gt;"",OR(J201="Solved independently",J201="Solved with hints",J201="Solved after viewing solution"),COUNTIFS($U$2:U200,U201,$V$2:V200,1)=0),1,0)</f>
        <v/>
      </c>
      <c r="W201" s="6">
        <f>IF(AND(U201&lt;&gt;"",COUNTIF($U$2:$U$300,U201)&gt;1),"DUPLICATE KEY","")</f>
        <v/>
      </c>
    </row>
    <row r="202">
      <c r="A202" s="6" t="n"/>
      <c r="B202" s="9" t="n"/>
      <c r="C202" s="9" t="n"/>
      <c r="D202" s="6" t="n"/>
      <c r="E202" s="9" t="n"/>
      <c r="F202" s="9" t="n"/>
      <c r="G202" s="9" t="n"/>
      <c r="H202" s="6" t="n"/>
      <c r="I202" s="8" t="n"/>
      <c r="J202" s="9" t="inlineStr">
        <is>
          <t>Not started</t>
        </is>
      </c>
      <c r="K202" s="6">
        <f>IF(J202="Solved independently","Yes",IF(OR(J202="",J202="Not started"),"","No"))</f>
        <v/>
      </c>
      <c r="L202" s="9" t="n"/>
      <c r="M202" s="9" t="n"/>
      <c r="N202" s="9" t="n"/>
      <c r="O202" s="9" t="n"/>
      <c r="P202" s="10" t="n"/>
      <c r="Q202" s="9" t="n"/>
      <c r="R202" s="8" t="n"/>
      <c r="S202" s="11">
        <f>IF(R202="","",R202+IF(T202=0,3,IF(T202=1,7,IF(T202=2,21,45))))</f>
        <v/>
      </c>
      <c r="T202" s="9" t="n"/>
      <c r="U202" s="6">
        <f>IF(B202="","",LOWER(TRIM(B202)))</f>
        <v/>
      </c>
      <c r="V202" s="6">
        <f>IF(AND(U202&lt;&gt;"",OR(J202="Solved independently",J202="Solved with hints",J202="Solved after viewing solution"),COUNTIFS($U$2:U201,U202,$V$2:V201,1)=0),1,0)</f>
        <v/>
      </c>
      <c r="W202" s="6">
        <f>IF(AND(U202&lt;&gt;"",COUNTIF($U$2:$U$300,U202)&gt;1),"DUPLICATE KEY","")</f>
        <v/>
      </c>
    </row>
    <row r="203">
      <c r="A203" s="6" t="n"/>
      <c r="B203" s="9" t="n"/>
      <c r="C203" s="9" t="n"/>
      <c r="D203" s="6" t="n"/>
      <c r="E203" s="9" t="n"/>
      <c r="F203" s="9" t="n"/>
      <c r="G203" s="9" t="n"/>
      <c r="H203" s="6" t="n"/>
      <c r="I203" s="8" t="n"/>
      <c r="J203" s="9" t="inlineStr">
        <is>
          <t>Not started</t>
        </is>
      </c>
      <c r="K203" s="6">
        <f>IF(J203="Solved independently","Yes",IF(OR(J203="",J203="Not started"),"","No"))</f>
        <v/>
      </c>
      <c r="L203" s="9" t="n"/>
      <c r="M203" s="9" t="n"/>
      <c r="N203" s="9" t="n"/>
      <c r="O203" s="9" t="n"/>
      <c r="P203" s="10" t="n"/>
      <c r="Q203" s="9" t="n"/>
      <c r="R203" s="8" t="n"/>
      <c r="S203" s="11">
        <f>IF(R203="","",R203+IF(T203=0,3,IF(T203=1,7,IF(T203=2,21,45))))</f>
        <v/>
      </c>
      <c r="T203" s="9" t="n"/>
      <c r="U203" s="6">
        <f>IF(B203="","",LOWER(TRIM(B203)))</f>
        <v/>
      </c>
      <c r="V203" s="6">
        <f>IF(AND(U203&lt;&gt;"",OR(J203="Solved independently",J203="Solved with hints",J203="Solved after viewing solution"),COUNTIFS($U$2:U202,U203,$V$2:V202,1)=0),1,0)</f>
        <v/>
      </c>
      <c r="W203" s="6">
        <f>IF(AND(U203&lt;&gt;"",COUNTIF($U$2:$U$300,U203)&gt;1),"DUPLICATE KEY","")</f>
        <v/>
      </c>
    </row>
    <row r="204">
      <c r="A204" s="6" t="n"/>
      <c r="B204" s="9" t="n"/>
      <c r="C204" s="9" t="n"/>
      <c r="D204" s="6" t="n"/>
      <c r="E204" s="9" t="n"/>
      <c r="F204" s="9" t="n"/>
      <c r="G204" s="9" t="n"/>
      <c r="H204" s="6" t="n"/>
      <c r="I204" s="8" t="n"/>
      <c r="J204" s="9" t="inlineStr">
        <is>
          <t>Not started</t>
        </is>
      </c>
      <c r="K204" s="6">
        <f>IF(J204="Solved independently","Yes",IF(OR(J204="",J204="Not started"),"","No"))</f>
        <v/>
      </c>
      <c r="L204" s="9" t="n"/>
      <c r="M204" s="9" t="n"/>
      <c r="N204" s="9" t="n"/>
      <c r="O204" s="9" t="n"/>
      <c r="P204" s="10" t="n"/>
      <c r="Q204" s="9" t="n"/>
      <c r="R204" s="8" t="n"/>
      <c r="S204" s="11">
        <f>IF(R204="","",R204+IF(T204=0,3,IF(T204=1,7,IF(T204=2,21,45))))</f>
        <v/>
      </c>
      <c r="T204" s="9" t="n"/>
      <c r="U204" s="6">
        <f>IF(B204="","",LOWER(TRIM(B204)))</f>
        <v/>
      </c>
      <c r="V204" s="6">
        <f>IF(AND(U204&lt;&gt;"",OR(J204="Solved independently",J204="Solved with hints",J204="Solved after viewing solution"),COUNTIFS($U$2:U203,U204,$V$2:V203,1)=0),1,0)</f>
        <v/>
      </c>
      <c r="W204" s="6">
        <f>IF(AND(U204&lt;&gt;"",COUNTIF($U$2:$U$300,U204)&gt;1),"DUPLICATE KEY","")</f>
        <v/>
      </c>
    </row>
    <row r="205">
      <c r="A205" s="6" t="n"/>
      <c r="B205" s="9" t="n"/>
      <c r="C205" s="9" t="n"/>
      <c r="D205" s="6" t="n"/>
      <c r="E205" s="9" t="n"/>
      <c r="F205" s="9" t="n"/>
      <c r="G205" s="9" t="n"/>
      <c r="H205" s="6" t="n"/>
      <c r="I205" s="8" t="n"/>
      <c r="J205" s="9" t="inlineStr">
        <is>
          <t>Not started</t>
        </is>
      </c>
      <c r="K205" s="6">
        <f>IF(J205="Solved independently","Yes",IF(OR(J205="",J205="Not started"),"","No"))</f>
        <v/>
      </c>
      <c r="L205" s="9" t="n"/>
      <c r="M205" s="9" t="n"/>
      <c r="N205" s="9" t="n"/>
      <c r="O205" s="9" t="n"/>
      <c r="P205" s="10" t="n"/>
      <c r="Q205" s="9" t="n"/>
      <c r="R205" s="8" t="n"/>
      <c r="S205" s="11">
        <f>IF(R205="","",R205+IF(T205=0,3,IF(T205=1,7,IF(T205=2,21,45))))</f>
        <v/>
      </c>
      <c r="T205" s="9" t="n"/>
      <c r="U205" s="6">
        <f>IF(B205="","",LOWER(TRIM(B205)))</f>
        <v/>
      </c>
      <c r="V205" s="6">
        <f>IF(AND(U205&lt;&gt;"",OR(J205="Solved independently",J205="Solved with hints",J205="Solved after viewing solution"),COUNTIFS($U$2:U204,U205,$V$2:V204,1)=0),1,0)</f>
        <v/>
      </c>
      <c r="W205" s="6">
        <f>IF(AND(U205&lt;&gt;"",COUNTIF($U$2:$U$300,U205)&gt;1),"DUPLICATE KEY","")</f>
        <v/>
      </c>
    </row>
    <row r="206">
      <c r="A206" s="6" t="n"/>
      <c r="B206" s="9" t="n"/>
      <c r="C206" s="9" t="n"/>
      <c r="D206" s="6" t="n"/>
      <c r="E206" s="9" t="n"/>
      <c r="F206" s="9" t="n"/>
      <c r="G206" s="9" t="n"/>
      <c r="H206" s="6" t="n"/>
      <c r="I206" s="8" t="n"/>
      <c r="J206" s="9" t="inlineStr">
        <is>
          <t>Not started</t>
        </is>
      </c>
      <c r="K206" s="6">
        <f>IF(J206="Solved independently","Yes",IF(OR(J206="",J206="Not started"),"","No"))</f>
        <v/>
      </c>
      <c r="L206" s="9" t="n"/>
      <c r="M206" s="9" t="n"/>
      <c r="N206" s="9" t="n"/>
      <c r="O206" s="9" t="n"/>
      <c r="P206" s="10" t="n"/>
      <c r="Q206" s="9" t="n"/>
      <c r="R206" s="8" t="n"/>
      <c r="S206" s="11">
        <f>IF(R206="","",R206+IF(T206=0,3,IF(T206=1,7,IF(T206=2,21,45))))</f>
        <v/>
      </c>
      <c r="T206" s="9" t="n"/>
      <c r="U206" s="6">
        <f>IF(B206="","",LOWER(TRIM(B206)))</f>
        <v/>
      </c>
      <c r="V206" s="6">
        <f>IF(AND(U206&lt;&gt;"",OR(J206="Solved independently",J206="Solved with hints",J206="Solved after viewing solution"),COUNTIFS($U$2:U205,U206,$V$2:V205,1)=0),1,0)</f>
        <v/>
      </c>
      <c r="W206" s="6">
        <f>IF(AND(U206&lt;&gt;"",COUNTIF($U$2:$U$300,U206)&gt;1),"DUPLICATE KEY","")</f>
        <v/>
      </c>
    </row>
    <row r="207">
      <c r="A207" s="6" t="n"/>
      <c r="B207" s="9" t="n"/>
      <c r="C207" s="9" t="n"/>
      <c r="D207" s="6" t="n"/>
      <c r="E207" s="9" t="n"/>
      <c r="F207" s="9" t="n"/>
      <c r="G207" s="9" t="n"/>
      <c r="H207" s="6" t="n"/>
      <c r="I207" s="8" t="n"/>
      <c r="J207" s="9" t="inlineStr">
        <is>
          <t>Not started</t>
        </is>
      </c>
      <c r="K207" s="6">
        <f>IF(J207="Solved independently","Yes",IF(OR(J207="",J207="Not started"),"","No"))</f>
        <v/>
      </c>
      <c r="L207" s="9" t="n"/>
      <c r="M207" s="9" t="n"/>
      <c r="N207" s="9" t="n"/>
      <c r="O207" s="9" t="n"/>
      <c r="P207" s="10" t="n"/>
      <c r="Q207" s="9" t="n"/>
      <c r="R207" s="8" t="n"/>
      <c r="S207" s="11">
        <f>IF(R207="","",R207+IF(T207=0,3,IF(T207=1,7,IF(T207=2,21,45))))</f>
        <v/>
      </c>
      <c r="T207" s="9" t="n"/>
      <c r="U207" s="6">
        <f>IF(B207="","",LOWER(TRIM(B207)))</f>
        <v/>
      </c>
      <c r="V207" s="6">
        <f>IF(AND(U207&lt;&gt;"",OR(J207="Solved independently",J207="Solved with hints",J207="Solved after viewing solution"),COUNTIFS($U$2:U206,U207,$V$2:V206,1)=0),1,0)</f>
        <v/>
      </c>
      <c r="W207" s="6">
        <f>IF(AND(U207&lt;&gt;"",COUNTIF($U$2:$U$300,U207)&gt;1),"DUPLICATE KEY","")</f>
        <v/>
      </c>
    </row>
    <row r="208">
      <c r="A208" s="6" t="n"/>
      <c r="B208" s="9" t="n"/>
      <c r="C208" s="9" t="n"/>
      <c r="D208" s="6" t="n"/>
      <c r="E208" s="9" t="n"/>
      <c r="F208" s="9" t="n"/>
      <c r="G208" s="9" t="n"/>
      <c r="H208" s="6" t="n"/>
      <c r="I208" s="8" t="n"/>
      <c r="J208" s="9" t="inlineStr">
        <is>
          <t>Not started</t>
        </is>
      </c>
      <c r="K208" s="6">
        <f>IF(J208="Solved independently","Yes",IF(OR(J208="",J208="Not started"),"","No"))</f>
        <v/>
      </c>
      <c r="L208" s="9" t="n"/>
      <c r="M208" s="9" t="n"/>
      <c r="N208" s="9" t="n"/>
      <c r="O208" s="9" t="n"/>
      <c r="P208" s="10" t="n"/>
      <c r="Q208" s="9" t="n"/>
      <c r="R208" s="8" t="n"/>
      <c r="S208" s="11">
        <f>IF(R208="","",R208+IF(T208=0,3,IF(T208=1,7,IF(T208=2,21,45))))</f>
        <v/>
      </c>
      <c r="T208" s="9" t="n"/>
      <c r="U208" s="6">
        <f>IF(B208="","",LOWER(TRIM(B208)))</f>
        <v/>
      </c>
      <c r="V208" s="6">
        <f>IF(AND(U208&lt;&gt;"",OR(J208="Solved independently",J208="Solved with hints",J208="Solved after viewing solution"),COUNTIFS($U$2:U207,U208,$V$2:V207,1)=0),1,0)</f>
        <v/>
      </c>
      <c r="W208" s="6">
        <f>IF(AND(U208&lt;&gt;"",COUNTIF($U$2:$U$300,U208)&gt;1),"DUPLICATE KEY","")</f>
        <v/>
      </c>
    </row>
    <row r="209">
      <c r="A209" s="6" t="n"/>
      <c r="B209" s="9" t="n"/>
      <c r="C209" s="9" t="n"/>
      <c r="D209" s="6" t="n"/>
      <c r="E209" s="9" t="n"/>
      <c r="F209" s="9" t="n"/>
      <c r="G209" s="9" t="n"/>
      <c r="H209" s="6" t="n"/>
      <c r="I209" s="8" t="n"/>
      <c r="J209" s="9" t="inlineStr">
        <is>
          <t>Not started</t>
        </is>
      </c>
      <c r="K209" s="6">
        <f>IF(J209="Solved independently","Yes",IF(OR(J209="",J209="Not started"),"","No"))</f>
        <v/>
      </c>
      <c r="L209" s="9" t="n"/>
      <c r="M209" s="9" t="n"/>
      <c r="N209" s="9" t="n"/>
      <c r="O209" s="9" t="n"/>
      <c r="P209" s="10" t="n"/>
      <c r="Q209" s="9" t="n"/>
      <c r="R209" s="8" t="n"/>
      <c r="S209" s="11">
        <f>IF(R209="","",R209+IF(T209=0,3,IF(T209=1,7,IF(T209=2,21,45))))</f>
        <v/>
      </c>
      <c r="T209" s="9" t="n"/>
      <c r="U209" s="6">
        <f>IF(B209="","",LOWER(TRIM(B209)))</f>
        <v/>
      </c>
      <c r="V209" s="6">
        <f>IF(AND(U209&lt;&gt;"",OR(J209="Solved independently",J209="Solved with hints",J209="Solved after viewing solution"),COUNTIFS($U$2:U208,U209,$V$2:V208,1)=0),1,0)</f>
        <v/>
      </c>
      <c r="W209" s="6">
        <f>IF(AND(U209&lt;&gt;"",COUNTIF($U$2:$U$300,U209)&gt;1),"DUPLICATE KEY","")</f>
        <v/>
      </c>
    </row>
    <row r="210">
      <c r="A210" s="6" t="n"/>
      <c r="B210" s="9" t="n"/>
      <c r="C210" s="9" t="n"/>
      <c r="D210" s="6" t="n"/>
      <c r="E210" s="9" t="n"/>
      <c r="F210" s="9" t="n"/>
      <c r="G210" s="9" t="n"/>
      <c r="H210" s="6" t="n"/>
      <c r="I210" s="8" t="n"/>
      <c r="J210" s="9" t="inlineStr">
        <is>
          <t>Not started</t>
        </is>
      </c>
      <c r="K210" s="6">
        <f>IF(J210="Solved independently","Yes",IF(OR(J210="",J210="Not started"),"","No"))</f>
        <v/>
      </c>
      <c r="L210" s="9" t="n"/>
      <c r="M210" s="9" t="n"/>
      <c r="N210" s="9" t="n"/>
      <c r="O210" s="9" t="n"/>
      <c r="P210" s="10" t="n"/>
      <c r="Q210" s="9" t="n"/>
      <c r="R210" s="8" t="n"/>
      <c r="S210" s="11">
        <f>IF(R210="","",R210+IF(T210=0,3,IF(T210=1,7,IF(T210=2,21,45))))</f>
        <v/>
      </c>
      <c r="T210" s="9" t="n"/>
      <c r="U210" s="6">
        <f>IF(B210="","",LOWER(TRIM(B210)))</f>
        <v/>
      </c>
      <c r="V210" s="6">
        <f>IF(AND(U210&lt;&gt;"",OR(J210="Solved independently",J210="Solved with hints",J210="Solved after viewing solution"),COUNTIFS($U$2:U209,U210,$V$2:V209,1)=0),1,0)</f>
        <v/>
      </c>
      <c r="W210" s="6">
        <f>IF(AND(U210&lt;&gt;"",COUNTIF($U$2:$U$300,U210)&gt;1),"DUPLICATE KEY","")</f>
        <v/>
      </c>
    </row>
    <row r="211">
      <c r="A211" s="6" t="n"/>
      <c r="B211" s="9" t="n"/>
      <c r="C211" s="9" t="n"/>
      <c r="D211" s="6" t="n"/>
      <c r="E211" s="9" t="n"/>
      <c r="F211" s="9" t="n"/>
      <c r="G211" s="9" t="n"/>
      <c r="H211" s="6" t="n"/>
      <c r="I211" s="8" t="n"/>
      <c r="J211" s="9" t="inlineStr">
        <is>
          <t>Not started</t>
        </is>
      </c>
      <c r="K211" s="6">
        <f>IF(J211="Solved independently","Yes",IF(OR(J211="",J211="Not started"),"","No"))</f>
        <v/>
      </c>
      <c r="L211" s="9" t="n"/>
      <c r="M211" s="9" t="n"/>
      <c r="N211" s="9" t="n"/>
      <c r="O211" s="9" t="n"/>
      <c r="P211" s="10" t="n"/>
      <c r="Q211" s="9" t="n"/>
      <c r="R211" s="8" t="n"/>
      <c r="S211" s="11">
        <f>IF(R211="","",R211+IF(T211=0,3,IF(T211=1,7,IF(T211=2,21,45))))</f>
        <v/>
      </c>
      <c r="T211" s="9" t="n"/>
      <c r="U211" s="6">
        <f>IF(B211="","",LOWER(TRIM(B211)))</f>
        <v/>
      </c>
      <c r="V211" s="6">
        <f>IF(AND(U211&lt;&gt;"",OR(J211="Solved independently",J211="Solved with hints",J211="Solved after viewing solution"),COUNTIFS($U$2:U210,U211,$V$2:V210,1)=0),1,0)</f>
        <v/>
      </c>
      <c r="W211" s="6">
        <f>IF(AND(U211&lt;&gt;"",COUNTIF($U$2:$U$300,U211)&gt;1),"DUPLICATE KEY","")</f>
        <v/>
      </c>
    </row>
    <row r="212">
      <c r="A212" s="6" t="n"/>
      <c r="B212" s="9" t="n"/>
      <c r="C212" s="9" t="n"/>
      <c r="D212" s="6" t="n"/>
      <c r="E212" s="9" t="n"/>
      <c r="F212" s="9" t="n"/>
      <c r="G212" s="9" t="n"/>
      <c r="H212" s="6" t="n"/>
      <c r="I212" s="8" t="n"/>
      <c r="J212" s="9" t="inlineStr">
        <is>
          <t>Not started</t>
        </is>
      </c>
      <c r="K212" s="6">
        <f>IF(J212="Solved independently","Yes",IF(OR(J212="",J212="Not started"),"","No"))</f>
        <v/>
      </c>
      <c r="L212" s="9" t="n"/>
      <c r="M212" s="9" t="n"/>
      <c r="N212" s="9" t="n"/>
      <c r="O212" s="9" t="n"/>
      <c r="P212" s="10" t="n"/>
      <c r="Q212" s="9" t="n"/>
      <c r="R212" s="8" t="n"/>
      <c r="S212" s="11">
        <f>IF(R212="","",R212+IF(T212=0,3,IF(T212=1,7,IF(T212=2,21,45))))</f>
        <v/>
      </c>
      <c r="T212" s="9" t="n"/>
      <c r="U212" s="6">
        <f>IF(B212="","",LOWER(TRIM(B212)))</f>
        <v/>
      </c>
      <c r="V212" s="6">
        <f>IF(AND(U212&lt;&gt;"",OR(J212="Solved independently",J212="Solved with hints",J212="Solved after viewing solution"),COUNTIFS($U$2:U211,U212,$V$2:V211,1)=0),1,0)</f>
        <v/>
      </c>
      <c r="W212" s="6">
        <f>IF(AND(U212&lt;&gt;"",COUNTIF($U$2:$U$300,U212)&gt;1),"DUPLICATE KEY","")</f>
        <v/>
      </c>
    </row>
    <row r="213">
      <c r="A213" s="6" t="n"/>
      <c r="B213" s="9" t="n"/>
      <c r="C213" s="9" t="n"/>
      <c r="D213" s="6" t="n"/>
      <c r="E213" s="9" t="n"/>
      <c r="F213" s="9" t="n"/>
      <c r="G213" s="9" t="n"/>
      <c r="H213" s="6" t="n"/>
      <c r="I213" s="8" t="n"/>
      <c r="J213" s="9" t="inlineStr">
        <is>
          <t>Not started</t>
        </is>
      </c>
      <c r="K213" s="6">
        <f>IF(J213="Solved independently","Yes",IF(OR(J213="",J213="Not started"),"","No"))</f>
        <v/>
      </c>
      <c r="L213" s="9" t="n"/>
      <c r="M213" s="9" t="n"/>
      <c r="N213" s="9" t="n"/>
      <c r="O213" s="9" t="n"/>
      <c r="P213" s="10" t="n"/>
      <c r="Q213" s="9" t="n"/>
      <c r="R213" s="8" t="n"/>
      <c r="S213" s="11">
        <f>IF(R213="","",R213+IF(T213=0,3,IF(T213=1,7,IF(T213=2,21,45))))</f>
        <v/>
      </c>
      <c r="T213" s="9" t="n"/>
      <c r="U213" s="6">
        <f>IF(B213="","",LOWER(TRIM(B213)))</f>
        <v/>
      </c>
      <c r="V213" s="6">
        <f>IF(AND(U213&lt;&gt;"",OR(J213="Solved independently",J213="Solved with hints",J213="Solved after viewing solution"),COUNTIFS($U$2:U212,U213,$V$2:V212,1)=0),1,0)</f>
        <v/>
      </c>
      <c r="W213" s="6">
        <f>IF(AND(U213&lt;&gt;"",COUNTIF($U$2:$U$300,U213)&gt;1),"DUPLICATE KEY","")</f>
        <v/>
      </c>
    </row>
    <row r="214">
      <c r="A214" s="6" t="n"/>
      <c r="B214" s="9" t="n"/>
      <c r="C214" s="9" t="n"/>
      <c r="D214" s="6" t="n"/>
      <c r="E214" s="9" t="n"/>
      <c r="F214" s="9" t="n"/>
      <c r="G214" s="9" t="n"/>
      <c r="H214" s="6" t="n"/>
      <c r="I214" s="8" t="n"/>
      <c r="J214" s="9" t="inlineStr">
        <is>
          <t>Not started</t>
        </is>
      </c>
      <c r="K214" s="6">
        <f>IF(J214="Solved independently","Yes",IF(OR(J214="",J214="Not started"),"","No"))</f>
        <v/>
      </c>
      <c r="L214" s="9" t="n"/>
      <c r="M214" s="9" t="n"/>
      <c r="N214" s="9" t="n"/>
      <c r="O214" s="9" t="n"/>
      <c r="P214" s="10" t="n"/>
      <c r="Q214" s="9" t="n"/>
      <c r="R214" s="8" t="n"/>
      <c r="S214" s="11">
        <f>IF(R214="","",R214+IF(T214=0,3,IF(T214=1,7,IF(T214=2,21,45))))</f>
        <v/>
      </c>
      <c r="T214" s="9" t="n"/>
      <c r="U214" s="6">
        <f>IF(B214="","",LOWER(TRIM(B214)))</f>
        <v/>
      </c>
      <c r="V214" s="6">
        <f>IF(AND(U214&lt;&gt;"",OR(J214="Solved independently",J214="Solved with hints",J214="Solved after viewing solution"),COUNTIFS($U$2:U213,U214,$V$2:V213,1)=0),1,0)</f>
        <v/>
      </c>
      <c r="W214" s="6">
        <f>IF(AND(U214&lt;&gt;"",COUNTIF($U$2:$U$300,U214)&gt;1),"DUPLICATE KEY","")</f>
        <v/>
      </c>
    </row>
    <row r="215">
      <c r="A215" s="6" t="n"/>
      <c r="B215" s="9" t="n"/>
      <c r="C215" s="9" t="n"/>
      <c r="D215" s="6" t="n"/>
      <c r="E215" s="9" t="n"/>
      <c r="F215" s="9" t="n"/>
      <c r="G215" s="9" t="n"/>
      <c r="H215" s="6" t="n"/>
      <c r="I215" s="8" t="n"/>
      <c r="J215" s="9" t="inlineStr">
        <is>
          <t>Not started</t>
        </is>
      </c>
      <c r="K215" s="6">
        <f>IF(J215="Solved independently","Yes",IF(OR(J215="",J215="Not started"),"","No"))</f>
        <v/>
      </c>
      <c r="L215" s="9" t="n"/>
      <c r="M215" s="9" t="n"/>
      <c r="N215" s="9" t="n"/>
      <c r="O215" s="9" t="n"/>
      <c r="P215" s="10" t="n"/>
      <c r="Q215" s="9" t="n"/>
      <c r="R215" s="8" t="n"/>
      <c r="S215" s="11">
        <f>IF(R215="","",R215+IF(T215=0,3,IF(T215=1,7,IF(T215=2,21,45))))</f>
        <v/>
      </c>
      <c r="T215" s="9" t="n"/>
      <c r="U215" s="6">
        <f>IF(B215="","",LOWER(TRIM(B215)))</f>
        <v/>
      </c>
      <c r="V215" s="6">
        <f>IF(AND(U215&lt;&gt;"",OR(J215="Solved independently",J215="Solved with hints",J215="Solved after viewing solution"),COUNTIFS($U$2:U214,U215,$V$2:V214,1)=0),1,0)</f>
        <v/>
      </c>
      <c r="W215" s="6">
        <f>IF(AND(U215&lt;&gt;"",COUNTIF($U$2:$U$300,U215)&gt;1),"DUPLICATE KEY","")</f>
        <v/>
      </c>
    </row>
    <row r="216">
      <c r="A216" s="6" t="n"/>
      <c r="B216" s="9" t="n"/>
      <c r="C216" s="9" t="n"/>
      <c r="D216" s="6" t="n"/>
      <c r="E216" s="9" t="n"/>
      <c r="F216" s="9" t="n"/>
      <c r="G216" s="9" t="n"/>
      <c r="H216" s="6" t="n"/>
      <c r="I216" s="8" t="n"/>
      <c r="J216" s="9" t="inlineStr">
        <is>
          <t>Not started</t>
        </is>
      </c>
      <c r="K216" s="6">
        <f>IF(J216="Solved independently","Yes",IF(OR(J216="",J216="Not started"),"","No"))</f>
        <v/>
      </c>
      <c r="L216" s="9" t="n"/>
      <c r="M216" s="9" t="n"/>
      <c r="N216" s="9" t="n"/>
      <c r="O216" s="9" t="n"/>
      <c r="P216" s="10" t="n"/>
      <c r="Q216" s="9" t="n"/>
      <c r="R216" s="8" t="n"/>
      <c r="S216" s="11">
        <f>IF(R216="","",R216+IF(T216=0,3,IF(T216=1,7,IF(T216=2,21,45))))</f>
        <v/>
      </c>
      <c r="T216" s="9" t="n"/>
      <c r="U216" s="6">
        <f>IF(B216="","",LOWER(TRIM(B216)))</f>
        <v/>
      </c>
      <c r="V216" s="6">
        <f>IF(AND(U216&lt;&gt;"",OR(J216="Solved independently",J216="Solved with hints",J216="Solved after viewing solution"),COUNTIFS($U$2:U215,U216,$V$2:V215,1)=0),1,0)</f>
        <v/>
      </c>
      <c r="W216" s="6">
        <f>IF(AND(U216&lt;&gt;"",COUNTIF($U$2:$U$300,U216)&gt;1),"DUPLICATE KEY","")</f>
        <v/>
      </c>
    </row>
    <row r="217">
      <c r="A217" s="6" t="n"/>
      <c r="B217" s="9" t="n"/>
      <c r="C217" s="9" t="n"/>
      <c r="D217" s="6" t="n"/>
      <c r="E217" s="9" t="n"/>
      <c r="F217" s="9" t="n"/>
      <c r="G217" s="9" t="n"/>
      <c r="H217" s="6" t="n"/>
      <c r="I217" s="8" t="n"/>
      <c r="J217" s="9" t="inlineStr">
        <is>
          <t>Not started</t>
        </is>
      </c>
      <c r="K217" s="6">
        <f>IF(J217="Solved independently","Yes",IF(OR(J217="",J217="Not started"),"","No"))</f>
        <v/>
      </c>
      <c r="L217" s="9" t="n"/>
      <c r="M217" s="9" t="n"/>
      <c r="N217" s="9" t="n"/>
      <c r="O217" s="9" t="n"/>
      <c r="P217" s="10" t="n"/>
      <c r="Q217" s="9" t="n"/>
      <c r="R217" s="8" t="n"/>
      <c r="S217" s="11">
        <f>IF(R217="","",R217+IF(T217=0,3,IF(T217=1,7,IF(T217=2,21,45))))</f>
        <v/>
      </c>
      <c r="T217" s="9" t="n"/>
      <c r="U217" s="6">
        <f>IF(B217="","",LOWER(TRIM(B217)))</f>
        <v/>
      </c>
      <c r="V217" s="6">
        <f>IF(AND(U217&lt;&gt;"",OR(J217="Solved independently",J217="Solved with hints",J217="Solved after viewing solution"),COUNTIFS($U$2:U216,U217,$V$2:V216,1)=0),1,0)</f>
        <v/>
      </c>
      <c r="W217" s="6">
        <f>IF(AND(U217&lt;&gt;"",COUNTIF($U$2:$U$300,U217)&gt;1),"DUPLICATE KEY","")</f>
        <v/>
      </c>
    </row>
    <row r="218">
      <c r="A218" s="6" t="n"/>
      <c r="B218" s="9" t="n"/>
      <c r="C218" s="9" t="n"/>
      <c r="D218" s="6" t="n"/>
      <c r="E218" s="9" t="n"/>
      <c r="F218" s="9" t="n"/>
      <c r="G218" s="9" t="n"/>
      <c r="H218" s="6" t="n"/>
      <c r="I218" s="8" t="n"/>
      <c r="J218" s="9" t="inlineStr">
        <is>
          <t>Not started</t>
        </is>
      </c>
      <c r="K218" s="6">
        <f>IF(J218="Solved independently","Yes",IF(OR(J218="",J218="Not started"),"","No"))</f>
        <v/>
      </c>
      <c r="L218" s="9" t="n"/>
      <c r="M218" s="9" t="n"/>
      <c r="N218" s="9" t="n"/>
      <c r="O218" s="9" t="n"/>
      <c r="P218" s="10" t="n"/>
      <c r="Q218" s="9" t="n"/>
      <c r="R218" s="8" t="n"/>
      <c r="S218" s="11">
        <f>IF(R218="","",R218+IF(T218=0,3,IF(T218=1,7,IF(T218=2,21,45))))</f>
        <v/>
      </c>
      <c r="T218" s="9" t="n"/>
      <c r="U218" s="6">
        <f>IF(B218="","",LOWER(TRIM(B218)))</f>
        <v/>
      </c>
      <c r="V218" s="6">
        <f>IF(AND(U218&lt;&gt;"",OR(J218="Solved independently",J218="Solved with hints",J218="Solved after viewing solution"),COUNTIFS($U$2:U217,U218,$V$2:V217,1)=0),1,0)</f>
        <v/>
      </c>
      <c r="W218" s="6">
        <f>IF(AND(U218&lt;&gt;"",COUNTIF($U$2:$U$300,U218)&gt;1),"DUPLICATE KEY","")</f>
        <v/>
      </c>
    </row>
    <row r="219">
      <c r="A219" s="6" t="n"/>
      <c r="B219" s="9" t="n"/>
      <c r="C219" s="9" t="n"/>
      <c r="D219" s="6" t="n"/>
      <c r="E219" s="9" t="n"/>
      <c r="F219" s="9" t="n"/>
      <c r="G219" s="9" t="n"/>
      <c r="H219" s="6" t="n"/>
      <c r="I219" s="8" t="n"/>
      <c r="J219" s="9" t="inlineStr">
        <is>
          <t>Not started</t>
        </is>
      </c>
      <c r="K219" s="6">
        <f>IF(J219="Solved independently","Yes",IF(OR(J219="",J219="Not started"),"","No"))</f>
        <v/>
      </c>
      <c r="L219" s="9" t="n"/>
      <c r="M219" s="9" t="n"/>
      <c r="N219" s="9" t="n"/>
      <c r="O219" s="9" t="n"/>
      <c r="P219" s="10" t="n"/>
      <c r="Q219" s="9" t="n"/>
      <c r="R219" s="8" t="n"/>
      <c r="S219" s="11">
        <f>IF(R219="","",R219+IF(T219=0,3,IF(T219=1,7,IF(T219=2,21,45))))</f>
        <v/>
      </c>
      <c r="T219" s="9" t="n"/>
      <c r="U219" s="6">
        <f>IF(B219="","",LOWER(TRIM(B219)))</f>
        <v/>
      </c>
      <c r="V219" s="6">
        <f>IF(AND(U219&lt;&gt;"",OR(J219="Solved independently",J219="Solved with hints",J219="Solved after viewing solution"),COUNTIFS($U$2:U218,U219,$V$2:V218,1)=0),1,0)</f>
        <v/>
      </c>
      <c r="W219" s="6">
        <f>IF(AND(U219&lt;&gt;"",COUNTIF($U$2:$U$300,U219)&gt;1),"DUPLICATE KEY","")</f>
        <v/>
      </c>
    </row>
    <row r="220">
      <c r="A220" s="6" t="n"/>
      <c r="B220" s="9" t="n"/>
      <c r="C220" s="9" t="n"/>
      <c r="D220" s="6" t="n"/>
      <c r="E220" s="9" t="n"/>
      <c r="F220" s="9" t="n"/>
      <c r="G220" s="9" t="n"/>
      <c r="H220" s="6" t="n"/>
      <c r="I220" s="8" t="n"/>
      <c r="J220" s="9" t="inlineStr">
        <is>
          <t>Not started</t>
        </is>
      </c>
      <c r="K220" s="6">
        <f>IF(J220="Solved independently","Yes",IF(OR(J220="",J220="Not started"),"","No"))</f>
        <v/>
      </c>
      <c r="L220" s="9" t="n"/>
      <c r="M220" s="9" t="n"/>
      <c r="N220" s="9" t="n"/>
      <c r="O220" s="9" t="n"/>
      <c r="P220" s="10" t="n"/>
      <c r="Q220" s="9" t="n"/>
      <c r="R220" s="8" t="n"/>
      <c r="S220" s="11">
        <f>IF(R220="","",R220+IF(T220=0,3,IF(T220=1,7,IF(T220=2,21,45))))</f>
        <v/>
      </c>
      <c r="T220" s="9" t="n"/>
      <c r="U220" s="6">
        <f>IF(B220="","",LOWER(TRIM(B220)))</f>
        <v/>
      </c>
      <c r="V220" s="6">
        <f>IF(AND(U220&lt;&gt;"",OR(J220="Solved independently",J220="Solved with hints",J220="Solved after viewing solution"),COUNTIFS($U$2:U219,U220,$V$2:V219,1)=0),1,0)</f>
        <v/>
      </c>
      <c r="W220" s="6">
        <f>IF(AND(U220&lt;&gt;"",COUNTIF($U$2:$U$300,U220)&gt;1),"DUPLICATE KEY","")</f>
        <v/>
      </c>
    </row>
    <row r="221">
      <c r="A221" s="6" t="n"/>
      <c r="B221" s="9" t="n"/>
      <c r="C221" s="9" t="n"/>
      <c r="D221" s="6" t="n"/>
      <c r="E221" s="9" t="n"/>
      <c r="F221" s="9" t="n"/>
      <c r="G221" s="9" t="n"/>
      <c r="H221" s="6" t="n"/>
      <c r="I221" s="8" t="n"/>
      <c r="J221" s="9" t="inlineStr">
        <is>
          <t>Not started</t>
        </is>
      </c>
      <c r="K221" s="6">
        <f>IF(J221="Solved independently","Yes",IF(OR(J221="",J221="Not started"),"","No"))</f>
        <v/>
      </c>
      <c r="L221" s="9" t="n"/>
      <c r="M221" s="9" t="n"/>
      <c r="N221" s="9" t="n"/>
      <c r="O221" s="9" t="n"/>
      <c r="P221" s="10" t="n"/>
      <c r="Q221" s="9" t="n"/>
      <c r="R221" s="8" t="n"/>
      <c r="S221" s="11">
        <f>IF(R221="","",R221+IF(T221=0,3,IF(T221=1,7,IF(T221=2,21,45))))</f>
        <v/>
      </c>
      <c r="T221" s="9" t="n"/>
      <c r="U221" s="6">
        <f>IF(B221="","",LOWER(TRIM(B221)))</f>
        <v/>
      </c>
      <c r="V221" s="6">
        <f>IF(AND(U221&lt;&gt;"",OR(J221="Solved independently",J221="Solved with hints",J221="Solved after viewing solution"),COUNTIFS($U$2:U220,U221,$V$2:V220,1)=0),1,0)</f>
        <v/>
      </c>
      <c r="W221" s="6">
        <f>IF(AND(U221&lt;&gt;"",COUNTIF($U$2:$U$300,U221)&gt;1),"DUPLICATE KEY","")</f>
        <v/>
      </c>
    </row>
    <row r="222">
      <c r="A222" s="6" t="n"/>
      <c r="B222" s="9" t="n"/>
      <c r="C222" s="9" t="n"/>
      <c r="D222" s="6" t="n"/>
      <c r="E222" s="9" t="n"/>
      <c r="F222" s="9" t="n"/>
      <c r="G222" s="9" t="n"/>
      <c r="H222" s="6" t="n"/>
      <c r="I222" s="8" t="n"/>
      <c r="J222" s="9" t="inlineStr">
        <is>
          <t>Not started</t>
        </is>
      </c>
      <c r="K222" s="6">
        <f>IF(J222="Solved independently","Yes",IF(OR(J222="",J222="Not started"),"","No"))</f>
        <v/>
      </c>
      <c r="L222" s="9" t="n"/>
      <c r="M222" s="9" t="n"/>
      <c r="N222" s="9" t="n"/>
      <c r="O222" s="9" t="n"/>
      <c r="P222" s="10" t="n"/>
      <c r="Q222" s="9" t="n"/>
      <c r="R222" s="8" t="n"/>
      <c r="S222" s="11">
        <f>IF(R222="","",R222+IF(T222=0,3,IF(T222=1,7,IF(T222=2,21,45))))</f>
        <v/>
      </c>
      <c r="T222" s="9" t="n"/>
      <c r="U222" s="6">
        <f>IF(B222="","",LOWER(TRIM(B222)))</f>
        <v/>
      </c>
      <c r="V222" s="6">
        <f>IF(AND(U222&lt;&gt;"",OR(J222="Solved independently",J222="Solved with hints",J222="Solved after viewing solution"),COUNTIFS($U$2:U221,U222,$V$2:V221,1)=0),1,0)</f>
        <v/>
      </c>
      <c r="W222" s="6">
        <f>IF(AND(U222&lt;&gt;"",COUNTIF($U$2:$U$300,U222)&gt;1),"DUPLICATE KEY","")</f>
        <v/>
      </c>
    </row>
    <row r="223">
      <c r="A223" s="6" t="n"/>
      <c r="B223" s="9" t="n"/>
      <c r="C223" s="9" t="n"/>
      <c r="D223" s="6" t="n"/>
      <c r="E223" s="9" t="n"/>
      <c r="F223" s="9" t="n"/>
      <c r="G223" s="9" t="n"/>
      <c r="H223" s="6" t="n"/>
      <c r="I223" s="8" t="n"/>
      <c r="J223" s="9" t="inlineStr">
        <is>
          <t>Not started</t>
        </is>
      </c>
      <c r="K223" s="6">
        <f>IF(J223="Solved independently","Yes",IF(OR(J223="",J223="Not started"),"","No"))</f>
        <v/>
      </c>
      <c r="L223" s="9" t="n"/>
      <c r="M223" s="9" t="n"/>
      <c r="N223" s="9" t="n"/>
      <c r="O223" s="9" t="n"/>
      <c r="P223" s="10" t="n"/>
      <c r="Q223" s="9" t="n"/>
      <c r="R223" s="8" t="n"/>
      <c r="S223" s="11">
        <f>IF(R223="","",R223+IF(T223=0,3,IF(T223=1,7,IF(T223=2,21,45))))</f>
        <v/>
      </c>
      <c r="T223" s="9" t="n"/>
      <c r="U223" s="6">
        <f>IF(B223="","",LOWER(TRIM(B223)))</f>
        <v/>
      </c>
      <c r="V223" s="6">
        <f>IF(AND(U223&lt;&gt;"",OR(J223="Solved independently",J223="Solved with hints",J223="Solved after viewing solution"),COUNTIFS($U$2:U222,U223,$V$2:V222,1)=0),1,0)</f>
        <v/>
      </c>
      <c r="W223" s="6">
        <f>IF(AND(U223&lt;&gt;"",COUNTIF($U$2:$U$300,U223)&gt;1),"DUPLICATE KEY","")</f>
        <v/>
      </c>
    </row>
    <row r="224">
      <c r="A224" s="6" t="n"/>
      <c r="B224" s="9" t="n"/>
      <c r="C224" s="9" t="n"/>
      <c r="D224" s="6" t="n"/>
      <c r="E224" s="9" t="n"/>
      <c r="F224" s="9" t="n"/>
      <c r="G224" s="9" t="n"/>
      <c r="H224" s="6" t="n"/>
      <c r="I224" s="8" t="n"/>
      <c r="J224" s="9" t="inlineStr">
        <is>
          <t>Not started</t>
        </is>
      </c>
      <c r="K224" s="6">
        <f>IF(J224="Solved independently","Yes",IF(OR(J224="",J224="Not started"),"","No"))</f>
        <v/>
      </c>
      <c r="L224" s="9" t="n"/>
      <c r="M224" s="9" t="n"/>
      <c r="N224" s="9" t="n"/>
      <c r="O224" s="9" t="n"/>
      <c r="P224" s="10" t="n"/>
      <c r="Q224" s="9" t="n"/>
      <c r="R224" s="8" t="n"/>
      <c r="S224" s="11">
        <f>IF(R224="","",R224+IF(T224=0,3,IF(T224=1,7,IF(T224=2,21,45))))</f>
        <v/>
      </c>
      <c r="T224" s="9" t="n"/>
      <c r="U224" s="6">
        <f>IF(B224="","",LOWER(TRIM(B224)))</f>
        <v/>
      </c>
      <c r="V224" s="6">
        <f>IF(AND(U224&lt;&gt;"",OR(J224="Solved independently",J224="Solved with hints",J224="Solved after viewing solution"),COUNTIFS($U$2:U223,U224,$V$2:V223,1)=0),1,0)</f>
        <v/>
      </c>
      <c r="W224" s="6">
        <f>IF(AND(U224&lt;&gt;"",COUNTIF($U$2:$U$300,U224)&gt;1),"DUPLICATE KEY","")</f>
        <v/>
      </c>
    </row>
    <row r="225">
      <c r="A225" s="6" t="n"/>
      <c r="B225" s="9" t="n"/>
      <c r="C225" s="9" t="n"/>
      <c r="D225" s="6" t="n"/>
      <c r="E225" s="9" t="n"/>
      <c r="F225" s="9" t="n"/>
      <c r="G225" s="9" t="n"/>
      <c r="H225" s="6" t="n"/>
      <c r="I225" s="8" t="n"/>
      <c r="J225" s="9" t="inlineStr">
        <is>
          <t>Not started</t>
        </is>
      </c>
      <c r="K225" s="6">
        <f>IF(J225="Solved independently","Yes",IF(OR(J225="",J225="Not started"),"","No"))</f>
        <v/>
      </c>
      <c r="L225" s="9" t="n"/>
      <c r="M225" s="9" t="n"/>
      <c r="N225" s="9" t="n"/>
      <c r="O225" s="9" t="n"/>
      <c r="P225" s="10" t="n"/>
      <c r="Q225" s="9" t="n"/>
      <c r="R225" s="8" t="n"/>
      <c r="S225" s="11">
        <f>IF(R225="","",R225+IF(T225=0,3,IF(T225=1,7,IF(T225=2,21,45))))</f>
        <v/>
      </c>
      <c r="T225" s="9" t="n"/>
      <c r="U225" s="6">
        <f>IF(B225="","",LOWER(TRIM(B225)))</f>
        <v/>
      </c>
      <c r="V225" s="6">
        <f>IF(AND(U225&lt;&gt;"",OR(J225="Solved independently",J225="Solved with hints",J225="Solved after viewing solution"),COUNTIFS($U$2:U224,U225,$V$2:V224,1)=0),1,0)</f>
        <v/>
      </c>
      <c r="W225" s="6">
        <f>IF(AND(U225&lt;&gt;"",COUNTIF($U$2:$U$300,U225)&gt;1),"DUPLICATE KEY","")</f>
        <v/>
      </c>
    </row>
    <row r="226">
      <c r="A226" s="6" t="n"/>
      <c r="B226" s="9" t="n"/>
      <c r="C226" s="9" t="n"/>
      <c r="D226" s="6" t="n"/>
      <c r="E226" s="9" t="n"/>
      <c r="F226" s="9" t="n"/>
      <c r="G226" s="9" t="n"/>
      <c r="H226" s="6" t="n"/>
      <c r="I226" s="8" t="n"/>
      <c r="J226" s="9" t="inlineStr">
        <is>
          <t>Not started</t>
        </is>
      </c>
      <c r="K226" s="6">
        <f>IF(J226="Solved independently","Yes",IF(OR(J226="",J226="Not started"),"","No"))</f>
        <v/>
      </c>
      <c r="L226" s="9" t="n"/>
      <c r="M226" s="9" t="n"/>
      <c r="N226" s="9" t="n"/>
      <c r="O226" s="9" t="n"/>
      <c r="P226" s="10" t="n"/>
      <c r="Q226" s="9" t="n"/>
      <c r="R226" s="8" t="n"/>
      <c r="S226" s="11">
        <f>IF(R226="","",R226+IF(T226=0,3,IF(T226=1,7,IF(T226=2,21,45))))</f>
        <v/>
      </c>
      <c r="T226" s="9" t="n"/>
      <c r="U226" s="6">
        <f>IF(B226="","",LOWER(TRIM(B226)))</f>
        <v/>
      </c>
      <c r="V226" s="6">
        <f>IF(AND(U226&lt;&gt;"",OR(J226="Solved independently",J226="Solved with hints",J226="Solved after viewing solution"),COUNTIFS($U$2:U225,U226,$V$2:V225,1)=0),1,0)</f>
        <v/>
      </c>
      <c r="W226" s="6">
        <f>IF(AND(U226&lt;&gt;"",COUNTIF($U$2:$U$300,U226)&gt;1),"DUPLICATE KEY","")</f>
        <v/>
      </c>
    </row>
    <row r="227">
      <c r="A227" s="6" t="n"/>
      <c r="B227" s="9" t="n"/>
      <c r="C227" s="9" t="n"/>
      <c r="D227" s="6" t="n"/>
      <c r="E227" s="9" t="n"/>
      <c r="F227" s="9" t="n"/>
      <c r="G227" s="9" t="n"/>
      <c r="H227" s="6" t="n"/>
      <c r="I227" s="8" t="n"/>
      <c r="J227" s="9" t="inlineStr">
        <is>
          <t>Not started</t>
        </is>
      </c>
      <c r="K227" s="6">
        <f>IF(J227="Solved independently","Yes",IF(OR(J227="",J227="Not started"),"","No"))</f>
        <v/>
      </c>
      <c r="L227" s="9" t="n"/>
      <c r="M227" s="9" t="n"/>
      <c r="N227" s="9" t="n"/>
      <c r="O227" s="9" t="n"/>
      <c r="P227" s="10" t="n"/>
      <c r="Q227" s="9" t="n"/>
      <c r="R227" s="8" t="n"/>
      <c r="S227" s="11">
        <f>IF(R227="","",R227+IF(T227=0,3,IF(T227=1,7,IF(T227=2,21,45))))</f>
        <v/>
      </c>
      <c r="T227" s="9" t="n"/>
      <c r="U227" s="6">
        <f>IF(B227="","",LOWER(TRIM(B227)))</f>
        <v/>
      </c>
      <c r="V227" s="6">
        <f>IF(AND(U227&lt;&gt;"",OR(J227="Solved independently",J227="Solved with hints",J227="Solved after viewing solution"),COUNTIFS($U$2:U226,U227,$V$2:V226,1)=0),1,0)</f>
        <v/>
      </c>
      <c r="W227" s="6">
        <f>IF(AND(U227&lt;&gt;"",COUNTIF($U$2:$U$300,U227)&gt;1),"DUPLICATE KEY","")</f>
        <v/>
      </c>
    </row>
    <row r="228">
      <c r="A228" s="6" t="n"/>
      <c r="B228" s="9" t="n"/>
      <c r="C228" s="9" t="n"/>
      <c r="D228" s="6" t="n"/>
      <c r="E228" s="9" t="n"/>
      <c r="F228" s="9" t="n"/>
      <c r="G228" s="9" t="n"/>
      <c r="H228" s="6" t="n"/>
      <c r="I228" s="8" t="n"/>
      <c r="J228" s="9" t="inlineStr">
        <is>
          <t>Not started</t>
        </is>
      </c>
      <c r="K228" s="6">
        <f>IF(J228="Solved independently","Yes",IF(OR(J228="",J228="Not started"),"","No"))</f>
        <v/>
      </c>
      <c r="L228" s="9" t="n"/>
      <c r="M228" s="9" t="n"/>
      <c r="N228" s="9" t="n"/>
      <c r="O228" s="9" t="n"/>
      <c r="P228" s="10" t="n"/>
      <c r="Q228" s="9" t="n"/>
      <c r="R228" s="8" t="n"/>
      <c r="S228" s="11">
        <f>IF(R228="","",R228+IF(T228=0,3,IF(T228=1,7,IF(T228=2,21,45))))</f>
        <v/>
      </c>
      <c r="T228" s="9" t="n"/>
      <c r="U228" s="6">
        <f>IF(B228="","",LOWER(TRIM(B228)))</f>
        <v/>
      </c>
      <c r="V228" s="6">
        <f>IF(AND(U228&lt;&gt;"",OR(J228="Solved independently",J228="Solved with hints",J228="Solved after viewing solution"),COUNTIFS($U$2:U227,U228,$V$2:V227,1)=0),1,0)</f>
        <v/>
      </c>
      <c r="W228" s="6">
        <f>IF(AND(U228&lt;&gt;"",COUNTIF($U$2:$U$300,U228)&gt;1),"DUPLICATE KEY","")</f>
        <v/>
      </c>
    </row>
    <row r="229">
      <c r="A229" s="6" t="n"/>
      <c r="B229" s="9" t="n"/>
      <c r="C229" s="9" t="n"/>
      <c r="D229" s="6" t="n"/>
      <c r="E229" s="9" t="n"/>
      <c r="F229" s="9" t="n"/>
      <c r="G229" s="9" t="n"/>
      <c r="H229" s="6" t="n"/>
      <c r="I229" s="8" t="n"/>
      <c r="J229" s="9" t="inlineStr">
        <is>
          <t>Not started</t>
        </is>
      </c>
      <c r="K229" s="6">
        <f>IF(J229="Solved independently","Yes",IF(OR(J229="",J229="Not started"),"","No"))</f>
        <v/>
      </c>
      <c r="L229" s="9" t="n"/>
      <c r="M229" s="9" t="n"/>
      <c r="N229" s="9" t="n"/>
      <c r="O229" s="9" t="n"/>
      <c r="P229" s="10" t="n"/>
      <c r="Q229" s="9" t="n"/>
      <c r="R229" s="8" t="n"/>
      <c r="S229" s="11">
        <f>IF(R229="","",R229+IF(T229=0,3,IF(T229=1,7,IF(T229=2,21,45))))</f>
        <v/>
      </c>
      <c r="T229" s="9" t="n"/>
      <c r="U229" s="6">
        <f>IF(B229="","",LOWER(TRIM(B229)))</f>
        <v/>
      </c>
      <c r="V229" s="6">
        <f>IF(AND(U229&lt;&gt;"",OR(J229="Solved independently",J229="Solved with hints",J229="Solved after viewing solution"),COUNTIFS($U$2:U228,U229,$V$2:V228,1)=0),1,0)</f>
        <v/>
      </c>
      <c r="W229" s="6">
        <f>IF(AND(U229&lt;&gt;"",COUNTIF($U$2:$U$300,U229)&gt;1),"DUPLICATE KEY","")</f>
        <v/>
      </c>
    </row>
    <row r="230">
      <c r="A230" s="6" t="n"/>
      <c r="B230" s="9" t="n"/>
      <c r="C230" s="9" t="n"/>
      <c r="D230" s="6" t="n"/>
      <c r="E230" s="9" t="n"/>
      <c r="F230" s="9" t="n"/>
      <c r="G230" s="9" t="n"/>
      <c r="H230" s="6" t="n"/>
      <c r="I230" s="8" t="n"/>
      <c r="J230" s="9" t="inlineStr">
        <is>
          <t>Not started</t>
        </is>
      </c>
      <c r="K230" s="6">
        <f>IF(J230="Solved independently","Yes",IF(OR(J230="",J230="Not started"),"","No"))</f>
        <v/>
      </c>
      <c r="L230" s="9" t="n"/>
      <c r="M230" s="9" t="n"/>
      <c r="N230" s="9" t="n"/>
      <c r="O230" s="9" t="n"/>
      <c r="P230" s="10" t="n"/>
      <c r="Q230" s="9" t="n"/>
      <c r="R230" s="8" t="n"/>
      <c r="S230" s="11">
        <f>IF(R230="","",R230+IF(T230=0,3,IF(T230=1,7,IF(T230=2,21,45))))</f>
        <v/>
      </c>
      <c r="T230" s="9" t="n"/>
      <c r="U230" s="6">
        <f>IF(B230="","",LOWER(TRIM(B230)))</f>
        <v/>
      </c>
      <c r="V230" s="6">
        <f>IF(AND(U230&lt;&gt;"",OR(J230="Solved independently",J230="Solved with hints",J230="Solved after viewing solution"),COUNTIFS($U$2:U229,U230,$V$2:V229,1)=0),1,0)</f>
        <v/>
      </c>
      <c r="W230" s="6">
        <f>IF(AND(U230&lt;&gt;"",COUNTIF($U$2:$U$300,U230)&gt;1),"DUPLICATE KEY","")</f>
        <v/>
      </c>
    </row>
    <row r="231">
      <c r="A231" s="6" t="n"/>
      <c r="B231" s="9" t="n"/>
      <c r="C231" s="9" t="n"/>
      <c r="D231" s="6" t="n"/>
      <c r="E231" s="9" t="n"/>
      <c r="F231" s="9" t="n"/>
      <c r="G231" s="9" t="n"/>
      <c r="H231" s="6" t="n"/>
      <c r="I231" s="8" t="n"/>
      <c r="J231" s="9" t="inlineStr">
        <is>
          <t>Not started</t>
        </is>
      </c>
      <c r="K231" s="6">
        <f>IF(J231="Solved independently","Yes",IF(OR(J231="",J231="Not started"),"","No"))</f>
        <v/>
      </c>
      <c r="L231" s="9" t="n"/>
      <c r="M231" s="9" t="n"/>
      <c r="N231" s="9" t="n"/>
      <c r="O231" s="9" t="n"/>
      <c r="P231" s="10" t="n"/>
      <c r="Q231" s="9" t="n"/>
      <c r="R231" s="8" t="n"/>
      <c r="S231" s="11">
        <f>IF(R231="","",R231+IF(T231=0,3,IF(T231=1,7,IF(T231=2,21,45))))</f>
        <v/>
      </c>
      <c r="T231" s="9" t="n"/>
      <c r="U231" s="6">
        <f>IF(B231="","",LOWER(TRIM(B231)))</f>
        <v/>
      </c>
      <c r="V231" s="6">
        <f>IF(AND(U231&lt;&gt;"",OR(J231="Solved independently",J231="Solved with hints",J231="Solved after viewing solution"),COUNTIFS($U$2:U230,U231,$V$2:V230,1)=0),1,0)</f>
        <v/>
      </c>
      <c r="W231" s="6">
        <f>IF(AND(U231&lt;&gt;"",COUNTIF($U$2:$U$300,U231)&gt;1),"DUPLICATE KEY","")</f>
        <v/>
      </c>
    </row>
    <row r="232">
      <c r="A232" s="6" t="n"/>
      <c r="B232" s="9" t="n"/>
      <c r="C232" s="9" t="n"/>
      <c r="D232" s="6" t="n"/>
      <c r="E232" s="9" t="n"/>
      <c r="F232" s="9" t="n"/>
      <c r="G232" s="9" t="n"/>
      <c r="H232" s="6" t="n"/>
      <c r="I232" s="8" t="n"/>
      <c r="J232" s="9" t="inlineStr">
        <is>
          <t>Not started</t>
        </is>
      </c>
      <c r="K232" s="6">
        <f>IF(J232="Solved independently","Yes",IF(OR(J232="",J232="Not started"),"","No"))</f>
        <v/>
      </c>
      <c r="L232" s="9" t="n"/>
      <c r="M232" s="9" t="n"/>
      <c r="N232" s="9" t="n"/>
      <c r="O232" s="9" t="n"/>
      <c r="P232" s="10" t="n"/>
      <c r="Q232" s="9" t="n"/>
      <c r="R232" s="8" t="n"/>
      <c r="S232" s="11">
        <f>IF(R232="","",R232+IF(T232=0,3,IF(T232=1,7,IF(T232=2,21,45))))</f>
        <v/>
      </c>
      <c r="T232" s="9" t="n"/>
      <c r="U232" s="6">
        <f>IF(B232="","",LOWER(TRIM(B232)))</f>
        <v/>
      </c>
      <c r="V232" s="6">
        <f>IF(AND(U232&lt;&gt;"",OR(J232="Solved independently",J232="Solved with hints",J232="Solved after viewing solution"),COUNTIFS($U$2:U231,U232,$V$2:V231,1)=0),1,0)</f>
        <v/>
      </c>
      <c r="W232" s="6">
        <f>IF(AND(U232&lt;&gt;"",COUNTIF($U$2:$U$300,U232)&gt;1),"DUPLICATE KEY","")</f>
        <v/>
      </c>
    </row>
    <row r="233">
      <c r="A233" s="6" t="n"/>
      <c r="B233" s="9" t="n"/>
      <c r="C233" s="9" t="n"/>
      <c r="D233" s="6" t="n"/>
      <c r="E233" s="9" t="n"/>
      <c r="F233" s="9" t="n"/>
      <c r="G233" s="9" t="n"/>
      <c r="H233" s="6" t="n"/>
      <c r="I233" s="8" t="n"/>
      <c r="J233" s="9" t="inlineStr">
        <is>
          <t>Not started</t>
        </is>
      </c>
      <c r="K233" s="6">
        <f>IF(J233="Solved independently","Yes",IF(OR(J233="",J233="Not started"),"","No"))</f>
        <v/>
      </c>
      <c r="L233" s="9" t="n"/>
      <c r="M233" s="9" t="n"/>
      <c r="N233" s="9" t="n"/>
      <c r="O233" s="9" t="n"/>
      <c r="P233" s="10" t="n"/>
      <c r="Q233" s="9" t="n"/>
      <c r="R233" s="8" t="n"/>
      <c r="S233" s="11">
        <f>IF(R233="","",R233+IF(T233=0,3,IF(T233=1,7,IF(T233=2,21,45))))</f>
        <v/>
      </c>
      <c r="T233" s="9" t="n"/>
      <c r="U233" s="6">
        <f>IF(B233="","",LOWER(TRIM(B233)))</f>
        <v/>
      </c>
      <c r="V233" s="6">
        <f>IF(AND(U233&lt;&gt;"",OR(J233="Solved independently",J233="Solved with hints",J233="Solved after viewing solution"),COUNTIFS($U$2:U232,U233,$V$2:V232,1)=0),1,0)</f>
        <v/>
      </c>
      <c r="W233" s="6">
        <f>IF(AND(U233&lt;&gt;"",COUNTIF($U$2:$U$300,U233)&gt;1),"DUPLICATE KEY","")</f>
        <v/>
      </c>
    </row>
    <row r="234">
      <c r="A234" s="6" t="n"/>
      <c r="B234" s="9" t="n"/>
      <c r="C234" s="9" t="n"/>
      <c r="D234" s="6" t="n"/>
      <c r="E234" s="9" t="n"/>
      <c r="F234" s="9" t="n"/>
      <c r="G234" s="9" t="n"/>
      <c r="H234" s="6" t="n"/>
      <c r="I234" s="8" t="n"/>
      <c r="J234" s="9" t="inlineStr">
        <is>
          <t>Not started</t>
        </is>
      </c>
      <c r="K234" s="6">
        <f>IF(J234="Solved independently","Yes",IF(OR(J234="",J234="Not started"),"","No"))</f>
        <v/>
      </c>
      <c r="L234" s="9" t="n"/>
      <c r="M234" s="9" t="n"/>
      <c r="N234" s="9" t="n"/>
      <c r="O234" s="9" t="n"/>
      <c r="P234" s="10" t="n"/>
      <c r="Q234" s="9" t="n"/>
      <c r="R234" s="8" t="n"/>
      <c r="S234" s="11">
        <f>IF(R234="","",R234+IF(T234=0,3,IF(T234=1,7,IF(T234=2,21,45))))</f>
        <v/>
      </c>
      <c r="T234" s="9" t="n"/>
      <c r="U234" s="6">
        <f>IF(B234="","",LOWER(TRIM(B234)))</f>
        <v/>
      </c>
      <c r="V234" s="6">
        <f>IF(AND(U234&lt;&gt;"",OR(J234="Solved independently",J234="Solved with hints",J234="Solved after viewing solution"),COUNTIFS($U$2:U233,U234,$V$2:V233,1)=0),1,0)</f>
        <v/>
      </c>
      <c r="W234" s="6">
        <f>IF(AND(U234&lt;&gt;"",COUNTIF($U$2:$U$300,U234)&gt;1),"DUPLICATE KEY","")</f>
        <v/>
      </c>
    </row>
    <row r="235">
      <c r="A235" s="6" t="n"/>
      <c r="B235" s="9" t="n"/>
      <c r="C235" s="9" t="n"/>
      <c r="D235" s="6" t="n"/>
      <c r="E235" s="9" t="n"/>
      <c r="F235" s="9" t="n"/>
      <c r="G235" s="9" t="n"/>
      <c r="H235" s="6" t="n"/>
      <c r="I235" s="8" t="n"/>
      <c r="J235" s="9" t="inlineStr">
        <is>
          <t>Not started</t>
        </is>
      </c>
      <c r="K235" s="6">
        <f>IF(J235="Solved independently","Yes",IF(OR(J235="",J235="Not started"),"","No"))</f>
        <v/>
      </c>
      <c r="L235" s="9" t="n"/>
      <c r="M235" s="9" t="n"/>
      <c r="N235" s="9" t="n"/>
      <c r="O235" s="9" t="n"/>
      <c r="P235" s="10" t="n"/>
      <c r="Q235" s="9" t="n"/>
      <c r="R235" s="8" t="n"/>
      <c r="S235" s="11">
        <f>IF(R235="","",R235+IF(T235=0,3,IF(T235=1,7,IF(T235=2,21,45))))</f>
        <v/>
      </c>
      <c r="T235" s="9" t="n"/>
      <c r="U235" s="6">
        <f>IF(B235="","",LOWER(TRIM(B235)))</f>
        <v/>
      </c>
      <c r="V235" s="6">
        <f>IF(AND(U235&lt;&gt;"",OR(J235="Solved independently",J235="Solved with hints",J235="Solved after viewing solution"),COUNTIFS($U$2:U234,U235,$V$2:V234,1)=0),1,0)</f>
        <v/>
      </c>
      <c r="W235" s="6">
        <f>IF(AND(U235&lt;&gt;"",COUNTIF($U$2:$U$300,U235)&gt;1),"DUPLICATE KEY","")</f>
        <v/>
      </c>
    </row>
    <row r="236">
      <c r="A236" s="6" t="n"/>
      <c r="B236" s="9" t="n"/>
      <c r="C236" s="9" t="n"/>
      <c r="D236" s="6" t="n"/>
      <c r="E236" s="9" t="n"/>
      <c r="F236" s="9" t="n"/>
      <c r="G236" s="9" t="n"/>
      <c r="H236" s="6" t="n"/>
      <c r="I236" s="8" t="n"/>
      <c r="J236" s="9" t="inlineStr">
        <is>
          <t>Not started</t>
        </is>
      </c>
      <c r="K236" s="6">
        <f>IF(J236="Solved independently","Yes",IF(OR(J236="",J236="Not started"),"","No"))</f>
        <v/>
      </c>
      <c r="L236" s="9" t="n"/>
      <c r="M236" s="9" t="n"/>
      <c r="N236" s="9" t="n"/>
      <c r="O236" s="9" t="n"/>
      <c r="P236" s="10" t="n"/>
      <c r="Q236" s="9" t="n"/>
      <c r="R236" s="8" t="n"/>
      <c r="S236" s="11">
        <f>IF(R236="","",R236+IF(T236=0,3,IF(T236=1,7,IF(T236=2,21,45))))</f>
        <v/>
      </c>
      <c r="T236" s="9" t="n"/>
      <c r="U236" s="6">
        <f>IF(B236="","",LOWER(TRIM(B236)))</f>
        <v/>
      </c>
      <c r="V236" s="6">
        <f>IF(AND(U236&lt;&gt;"",OR(J236="Solved independently",J236="Solved with hints",J236="Solved after viewing solution"),COUNTIFS($U$2:U235,U236,$V$2:V235,1)=0),1,0)</f>
        <v/>
      </c>
      <c r="W236" s="6">
        <f>IF(AND(U236&lt;&gt;"",COUNTIF($U$2:$U$300,U236)&gt;1),"DUPLICATE KEY","")</f>
        <v/>
      </c>
    </row>
    <row r="237">
      <c r="A237" s="6" t="n"/>
      <c r="B237" s="9" t="n"/>
      <c r="C237" s="9" t="n"/>
      <c r="D237" s="6" t="n"/>
      <c r="E237" s="9" t="n"/>
      <c r="F237" s="9" t="n"/>
      <c r="G237" s="9" t="n"/>
      <c r="H237" s="6" t="n"/>
      <c r="I237" s="8" t="n"/>
      <c r="J237" s="9" t="inlineStr">
        <is>
          <t>Not started</t>
        </is>
      </c>
      <c r="K237" s="6">
        <f>IF(J237="Solved independently","Yes",IF(OR(J237="",J237="Not started"),"","No"))</f>
        <v/>
      </c>
      <c r="L237" s="9" t="n"/>
      <c r="M237" s="9" t="n"/>
      <c r="N237" s="9" t="n"/>
      <c r="O237" s="9" t="n"/>
      <c r="P237" s="10" t="n"/>
      <c r="Q237" s="9" t="n"/>
      <c r="R237" s="8" t="n"/>
      <c r="S237" s="11">
        <f>IF(R237="","",R237+IF(T237=0,3,IF(T237=1,7,IF(T237=2,21,45))))</f>
        <v/>
      </c>
      <c r="T237" s="9" t="n"/>
      <c r="U237" s="6">
        <f>IF(B237="","",LOWER(TRIM(B237)))</f>
        <v/>
      </c>
      <c r="V237" s="6">
        <f>IF(AND(U237&lt;&gt;"",OR(J237="Solved independently",J237="Solved with hints",J237="Solved after viewing solution"),COUNTIFS($U$2:U236,U237,$V$2:V236,1)=0),1,0)</f>
        <v/>
      </c>
      <c r="W237" s="6">
        <f>IF(AND(U237&lt;&gt;"",COUNTIF($U$2:$U$300,U237)&gt;1),"DUPLICATE KEY","")</f>
        <v/>
      </c>
    </row>
    <row r="238">
      <c r="A238" s="6" t="n"/>
      <c r="B238" s="9" t="n"/>
      <c r="C238" s="9" t="n"/>
      <c r="D238" s="6" t="n"/>
      <c r="E238" s="9" t="n"/>
      <c r="F238" s="9" t="n"/>
      <c r="G238" s="9" t="n"/>
      <c r="H238" s="6" t="n"/>
      <c r="I238" s="8" t="n"/>
      <c r="J238" s="9" t="inlineStr">
        <is>
          <t>Not started</t>
        </is>
      </c>
      <c r="K238" s="6">
        <f>IF(J238="Solved independently","Yes",IF(OR(J238="",J238="Not started"),"","No"))</f>
        <v/>
      </c>
      <c r="L238" s="9" t="n"/>
      <c r="M238" s="9" t="n"/>
      <c r="N238" s="9" t="n"/>
      <c r="O238" s="9" t="n"/>
      <c r="P238" s="10" t="n"/>
      <c r="Q238" s="9" t="n"/>
      <c r="R238" s="8" t="n"/>
      <c r="S238" s="11">
        <f>IF(R238="","",R238+IF(T238=0,3,IF(T238=1,7,IF(T238=2,21,45))))</f>
        <v/>
      </c>
      <c r="T238" s="9" t="n"/>
      <c r="U238" s="6">
        <f>IF(B238="","",LOWER(TRIM(B238)))</f>
        <v/>
      </c>
      <c r="V238" s="6">
        <f>IF(AND(U238&lt;&gt;"",OR(J238="Solved independently",J238="Solved with hints",J238="Solved after viewing solution"),COUNTIFS($U$2:U237,U238,$V$2:V237,1)=0),1,0)</f>
        <v/>
      </c>
      <c r="W238" s="6">
        <f>IF(AND(U238&lt;&gt;"",COUNTIF($U$2:$U$300,U238)&gt;1),"DUPLICATE KEY","")</f>
        <v/>
      </c>
    </row>
    <row r="239">
      <c r="A239" s="6" t="n"/>
      <c r="B239" s="9" t="n"/>
      <c r="C239" s="9" t="n"/>
      <c r="D239" s="6" t="n"/>
      <c r="E239" s="9" t="n"/>
      <c r="F239" s="9" t="n"/>
      <c r="G239" s="9" t="n"/>
      <c r="H239" s="6" t="n"/>
      <c r="I239" s="8" t="n"/>
      <c r="J239" s="9" t="inlineStr">
        <is>
          <t>Not started</t>
        </is>
      </c>
      <c r="K239" s="6">
        <f>IF(J239="Solved independently","Yes",IF(OR(J239="",J239="Not started"),"","No"))</f>
        <v/>
      </c>
      <c r="L239" s="9" t="n"/>
      <c r="M239" s="9" t="n"/>
      <c r="N239" s="9" t="n"/>
      <c r="O239" s="9" t="n"/>
      <c r="P239" s="10" t="n"/>
      <c r="Q239" s="9" t="n"/>
      <c r="R239" s="8" t="n"/>
      <c r="S239" s="11">
        <f>IF(R239="","",R239+IF(T239=0,3,IF(T239=1,7,IF(T239=2,21,45))))</f>
        <v/>
      </c>
      <c r="T239" s="9" t="n"/>
      <c r="U239" s="6">
        <f>IF(B239="","",LOWER(TRIM(B239)))</f>
        <v/>
      </c>
      <c r="V239" s="6">
        <f>IF(AND(U239&lt;&gt;"",OR(J239="Solved independently",J239="Solved with hints",J239="Solved after viewing solution"),COUNTIFS($U$2:U238,U239,$V$2:V238,1)=0),1,0)</f>
        <v/>
      </c>
      <c r="W239" s="6">
        <f>IF(AND(U239&lt;&gt;"",COUNTIF($U$2:$U$300,U239)&gt;1),"DUPLICATE KEY","")</f>
        <v/>
      </c>
    </row>
    <row r="240">
      <c r="A240" s="6" t="n"/>
      <c r="B240" s="9" t="n"/>
      <c r="C240" s="9" t="n"/>
      <c r="D240" s="6" t="n"/>
      <c r="E240" s="9" t="n"/>
      <c r="F240" s="9" t="n"/>
      <c r="G240" s="9" t="n"/>
      <c r="H240" s="6" t="n"/>
      <c r="I240" s="8" t="n"/>
      <c r="J240" s="9" t="inlineStr">
        <is>
          <t>Not started</t>
        </is>
      </c>
      <c r="K240" s="6">
        <f>IF(J240="Solved independently","Yes",IF(OR(J240="",J240="Not started"),"","No"))</f>
        <v/>
      </c>
      <c r="L240" s="9" t="n"/>
      <c r="M240" s="9" t="n"/>
      <c r="N240" s="9" t="n"/>
      <c r="O240" s="9" t="n"/>
      <c r="P240" s="10" t="n"/>
      <c r="Q240" s="9" t="n"/>
      <c r="R240" s="8" t="n"/>
      <c r="S240" s="11">
        <f>IF(R240="","",R240+IF(T240=0,3,IF(T240=1,7,IF(T240=2,21,45))))</f>
        <v/>
      </c>
      <c r="T240" s="9" t="n"/>
      <c r="U240" s="6">
        <f>IF(B240="","",LOWER(TRIM(B240)))</f>
        <v/>
      </c>
      <c r="V240" s="6">
        <f>IF(AND(U240&lt;&gt;"",OR(J240="Solved independently",J240="Solved with hints",J240="Solved after viewing solution"),COUNTIFS($U$2:U239,U240,$V$2:V239,1)=0),1,0)</f>
        <v/>
      </c>
      <c r="W240" s="6">
        <f>IF(AND(U240&lt;&gt;"",COUNTIF($U$2:$U$300,U240)&gt;1),"DUPLICATE KEY","")</f>
        <v/>
      </c>
    </row>
    <row r="241">
      <c r="A241" s="6" t="n"/>
      <c r="B241" s="9" t="n"/>
      <c r="C241" s="9" t="n"/>
      <c r="D241" s="6" t="n"/>
      <c r="E241" s="9" t="n"/>
      <c r="F241" s="9" t="n"/>
      <c r="G241" s="9" t="n"/>
      <c r="H241" s="6" t="n"/>
      <c r="I241" s="8" t="n"/>
      <c r="J241" s="9" t="inlineStr">
        <is>
          <t>Not started</t>
        </is>
      </c>
      <c r="K241" s="6">
        <f>IF(J241="Solved independently","Yes",IF(OR(J241="",J241="Not started"),"","No"))</f>
        <v/>
      </c>
      <c r="L241" s="9" t="n"/>
      <c r="M241" s="9" t="n"/>
      <c r="N241" s="9" t="n"/>
      <c r="O241" s="9" t="n"/>
      <c r="P241" s="10" t="n"/>
      <c r="Q241" s="9" t="n"/>
      <c r="R241" s="8" t="n"/>
      <c r="S241" s="11">
        <f>IF(R241="","",R241+IF(T241=0,3,IF(T241=1,7,IF(T241=2,21,45))))</f>
        <v/>
      </c>
      <c r="T241" s="9" t="n"/>
      <c r="U241" s="6">
        <f>IF(B241="","",LOWER(TRIM(B241)))</f>
        <v/>
      </c>
      <c r="V241" s="6">
        <f>IF(AND(U241&lt;&gt;"",OR(J241="Solved independently",J241="Solved with hints",J241="Solved after viewing solution"),COUNTIFS($U$2:U240,U241,$V$2:V240,1)=0),1,0)</f>
        <v/>
      </c>
      <c r="W241" s="6">
        <f>IF(AND(U241&lt;&gt;"",COUNTIF($U$2:$U$300,U241)&gt;1),"DUPLICATE KEY","")</f>
        <v/>
      </c>
    </row>
    <row r="242">
      <c r="A242" s="6" t="n"/>
      <c r="B242" s="9" t="n"/>
      <c r="C242" s="9" t="n"/>
      <c r="D242" s="6" t="n"/>
      <c r="E242" s="9" t="n"/>
      <c r="F242" s="9" t="n"/>
      <c r="G242" s="9" t="n"/>
      <c r="H242" s="6" t="n"/>
      <c r="I242" s="8" t="n"/>
      <c r="J242" s="9" t="inlineStr">
        <is>
          <t>Not started</t>
        </is>
      </c>
      <c r="K242" s="6">
        <f>IF(J242="Solved independently","Yes",IF(OR(J242="",J242="Not started"),"","No"))</f>
        <v/>
      </c>
      <c r="L242" s="9" t="n"/>
      <c r="M242" s="9" t="n"/>
      <c r="N242" s="9" t="n"/>
      <c r="O242" s="9" t="n"/>
      <c r="P242" s="10" t="n"/>
      <c r="Q242" s="9" t="n"/>
      <c r="R242" s="8" t="n"/>
      <c r="S242" s="11">
        <f>IF(R242="","",R242+IF(T242=0,3,IF(T242=1,7,IF(T242=2,21,45))))</f>
        <v/>
      </c>
      <c r="T242" s="9" t="n"/>
      <c r="U242" s="6">
        <f>IF(B242="","",LOWER(TRIM(B242)))</f>
        <v/>
      </c>
      <c r="V242" s="6">
        <f>IF(AND(U242&lt;&gt;"",OR(J242="Solved independently",J242="Solved with hints",J242="Solved after viewing solution"),COUNTIFS($U$2:U241,U242,$V$2:V241,1)=0),1,0)</f>
        <v/>
      </c>
      <c r="W242" s="6">
        <f>IF(AND(U242&lt;&gt;"",COUNTIF($U$2:$U$300,U242)&gt;1),"DUPLICATE KEY","")</f>
        <v/>
      </c>
    </row>
    <row r="243">
      <c r="A243" s="6" t="n"/>
      <c r="B243" s="9" t="n"/>
      <c r="C243" s="9" t="n"/>
      <c r="D243" s="6" t="n"/>
      <c r="E243" s="9" t="n"/>
      <c r="F243" s="9" t="n"/>
      <c r="G243" s="9" t="n"/>
      <c r="H243" s="6" t="n"/>
      <c r="I243" s="8" t="n"/>
      <c r="J243" s="9" t="inlineStr">
        <is>
          <t>Not started</t>
        </is>
      </c>
      <c r="K243" s="6">
        <f>IF(J243="Solved independently","Yes",IF(OR(J243="",J243="Not started"),"","No"))</f>
        <v/>
      </c>
      <c r="L243" s="9" t="n"/>
      <c r="M243" s="9" t="n"/>
      <c r="N243" s="9" t="n"/>
      <c r="O243" s="9" t="n"/>
      <c r="P243" s="10" t="n"/>
      <c r="Q243" s="9" t="n"/>
      <c r="R243" s="8" t="n"/>
      <c r="S243" s="11">
        <f>IF(R243="","",R243+IF(T243=0,3,IF(T243=1,7,IF(T243=2,21,45))))</f>
        <v/>
      </c>
      <c r="T243" s="9" t="n"/>
      <c r="U243" s="6">
        <f>IF(B243="","",LOWER(TRIM(B243)))</f>
        <v/>
      </c>
      <c r="V243" s="6">
        <f>IF(AND(U243&lt;&gt;"",OR(J243="Solved independently",J243="Solved with hints",J243="Solved after viewing solution"),COUNTIFS($U$2:U242,U243,$V$2:V242,1)=0),1,0)</f>
        <v/>
      </c>
      <c r="W243" s="6">
        <f>IF(AND(U243&lt;&gt;"",COUNTIF($U$2:$U$300,U243)&gt;1),"DUPLICATE KEY","")</f>
        <v/>
      </c>
    </row>
    <row r="244">
      <c r="A244" s="6" t="n"/>
      <c r="B244" s="9" t="n"/>
      <c r="C244" s="9" t="n"/>
      <c r="D244" s="6" t="n"/>
      <c r="E244" s="9" t="n"/>
      <c r="F244" s="9" t="n"/>
      <c r="G244" s="9" t="n"/>
      <c r="H244" s="6" t="n"/>
      <c r="I244" s="8" t="n"/>
      <c r="J244" s="9" t="inlineStr">
        <is>
          <t>Not started</t>
        </is>
      </c>
      <c r="K244" s="6">
        <f>IF(J244="Solved independently","Yes",IF(OR(J244="",J244="Not started"),"","No"))</f>
        <v/>
      </c>
      <c r="L244" s="9" t="n"/>
      <c r="M244" s="9" t="n"/>
      <c r="N244" s="9" t="n"/>
      <c r="O244" s="9" t="n"/>
      <c r="P244" s="10" t="n"/>
      <c r="Q244" s="9" t="n"/>
      <c r="R244" s="8" t="n"/>
      <c r="S244" s="11">
        <f>IF(R244="","",R244+IF(T244=0,3,IF(T244=1,7,IF(T244=2,21,45))))</f>
        <v/>
      </c>
      <c r="T244" s="9" t="n"/>
      <c r="U244" s="6">
        <f>IF(B244="","",LOWER(TRIM(B244)))</f>
        <v/>
      </c>
      <c r="V244" s="6">
        <f>IF(AND(U244&lt;&gt;"",OR(J244="Solved independently",J244="Solved with hints",J244="Solved after viewing solution"),COUNTIFS($U$2:U243,U244,$V$2:V243,1)=0),1,0)</f>
        <v/>
      </c>
      <c r="W244" s="6">
        <f>IF(AND(U244&lt;&gt;"",COUNTIF($U$2:$U$300,U244)&gt;1),"DUPLICATE KEY","")</f>
        <v/>
      </c>
    </row>
    <row r="245">
      <c r="A245" s="6" t="n"/>
      <c r="B245" s="9" t="n"/>
      <c r="C245" s="9" t="n"/>
      <c r="D245" s="6" t="n"/>
      <c r="E245" s="9" t="n"/>
      <c r="F245" s="9" t="n"/>
      <c r="G245" s="9" t="n"/>
      <c r="H245" s="6" t="n"/>
      <c r="I245" s="8" t="n"/>
      <c r="J245" s="9" t="inlineStr">
        <is>
          <t>Not started</t>
        </is>
      </c>
      <c r="K245" s="6">
        <f>IF(J245="Solved independently","Yes",IF(OR(J245="",J245="Not started"),"","No"))</f>
        <v/>
      </c>
      <c r="L245" s="9" t="n"/>
      <c r="M245" s="9" t="n"/>
      <c r="N245" s="9" t="n"/>
      <c r="O245" s="9" t="n"/>
      <c r="P245" s="10" t="n"/>
      <c r="Q245" s="9" t="n"/>
      <c r="R245" s="8" t="n"/>
      <c r="S245" s="11">
        <f>IF(R245="","",R245+IF(T245=0,3,IF(T245=1,7,IF(T245=2,21,45))))</f>
        <v/>
      </c>
      <c r="T245" s="9" t="n"/>
      <c r="U245" s="6">
        <f>IF(B245="","",LOWER(TRIM(B245)))</f>
        <v/>
      </c>
      <c r="V245" s="6">
        <f>IF(AND(U245&lt;&gt;"",OR(J245="Solved independently",J245="Solved with hints",J245="Solved after viewing solution"),COUNTIFS($U$2:U244,U245,$V$2:V244,1)=0),1,0)</f>
        <v/>
      </c>
      <c r="W245" s="6">
        <f>IF(AND(U245&lt;&gt;"",COUNTIF($U$2:$U$300,U245)&gt;1),"DUPLICATE KEY","")</f>
        <v/>
      </c>
    </row>
    <row r="246">
      <c r="A246" s="6" t="n"/>
      <c r="B246" s="9" t="n"/>
      <c r="C246" s="9" t="n"/>
      <c r="D246" s="6" t="n"/>
      <c r="E246" s="9" t="n"/>
      <c r="F246" s="9" t="n"/>
      <c r="G246" s="9" t="n"/>
      <c r="H246" s="6" t="n"/>
      <c r="I246" s="8" t="n"/>
      <c r="J246" s="9" t="inlineStr">
        <is>
          <t>Not started</t>
        </is>
      </c>
      <c r="K246" s="6">
        <f>IF(J246="Solved independently","Yes",IF(OR(J246="",J246="Not started"),"","No"))</f>
        <v/>
      </c>
      <c r="L246" s="9" t="n"/>
      <c r="M246" s="9" t="n"/>
      <c r="N246" s="9" t="n"/>
      <c r="O246" s="9" t="n"/>
      <c r="P246" s="10" t="n"/>
      <c r="Q246" s="9" t="n"/>
      <c r="R246" s="8" t="n"/>
      <c r="S246" s="11">
        <f>IF(R246="","",R246+IF(T246=0,3,IF(T246=1,7,IF(T246=2,21,45))))</f>
        <v/>
      </c>
      <c r="T246" s="9" t="n"/>
      <c r="U246" s="6">
        <f>IF(B246="","",LOWER(TRIM(B246)))</f>
        <v/>
      </c>
      <c r="V246" s="6">
        <f>IF(AND(U246&lt;&gt;"",OR(J246="Solved independently",J246="Solved with hints",J246="Solved after viewing solution"),COUNTIFS($U$2:U245,U246,$V$2:V245,1)=0),1,0)</f>
        <v/>
      </c>
      <c r="W246" s="6">
        <f>IF(AND(U246&lt;&gt;"",COUNTIF($U$2:$U$300,U246)&gt;1),"DUPLICATE KEY","")</f>
        <v/>
      </c>
    </row>
    <row r="247">
      <c r="A247" s="6" t="n"/>
      <c r="B247" s="9" t="n"/>
      <c r="C247" s="9" t="n"/>
      <c r="D247" s="6" t="n"/>
      <c r="E247" s="9" t="n"/>
      <c r="F247" s="9" t="n"/>
      <c r="G247" s="9" t="n"/>
      <c r="H247" s="6" t="n"/>
      <c r="I247" s="8" t="n"/>
      <c r="J247" s="9" t="inlineStr">
        <is>
          <t>Not started</t>
        </is>
      </c>
      <c r="K247" s="6">
        <f>IF(J247="Solved independently","Yes",IF(OR(J247="",J247="Not started"),"","No"))</f>
        <v/>
      </c>
      <c r="L247" s="9" t="n"/>
      <c r="M247" s="9" t="n"/>
      <c r="N247" s="9" t="n"/>
      <c r="O247" s="9" t="n"/>
      <c r="P247" s="10" t="n"/>
      <c r="Q247" s="9" t="n"/>
      <c r="R247" s="8" t="n"/>
      <c r="S247" s="11">
        <f>IF(R247="","",R247+IF(T247=0,3,IF(T247=1,7,IF(T247=2,21,45))))</f>
        <v/>
      </c>
      <c r="T247" s="9" t="n"/>
      <c r="U247" s="6">
        <f>IF(B247="","",LOWER(TRIM(B247)))</f>
        <v/>
      </c>
      <c r="V247" s="6">
        <f>IF(AND(U247&lt;&gt;"",OR(J247="Solved independently",J247="Solved with hints",J247="Solved after viewing solution"),COUNTIFS($U$2:U246,U247,$V$2:V246,1)=0),1,0)</f>
        <v/>
      </c>
      <c r="W247" s="6">
        <f>IF(AND(U247&lt;&gt;"",COUNTIF($U$2:$U$300,U247)&gt;1),"DUPLICATE KEY","")</f>
        <v/>
      </c>
    </row>
    <row r="248">
      <c r="A248" s="6" t="n"/>
      <c r="B248" s="9" t="n"/>
      <c r="C248" s="9" t="n"/>
      <c r="D248" s="6" t="n"/>
      <c r="E248" s="9" t="n"/>
      <c r="F248" s="9" t="n"/>
      <c r="G248" s="9" t="n"/>
      <c r="H248" s="6" t="n"/>
      <c r="I248" s="8" t="n"/>
      <c r="J248" s="9" t="inlineStr">
        <is>
          <t>Not started</t>
        </is>
      </c>
      <c r="K248" s="6">
        <f>IF(J248="Solved independently","Yes",IF(OR(J248="",J248="Not started"),"","No"))</f>
        <v/>
      </c>
      <c r="L248" s="9" t="n"/>
      <c r="M248" s="9" t="n"/>
      <c r="N248" s="9" t="n"/>
      <c r="O248" s="9" t="n"/>
      <c r="P248" s="10" t="n"/>
      <c r="Q248" s="9" t="n"/>
      <c r="R248" s="8" t="n"/>
      <c r="S248" s="11">
        <f>IF(R248="","",R248+IF(T248=0,3,IF(T248=1,7,IF(T248=2,21,45))))</f>
        <v/>
      </c>
      <c r="T248" s="9" t="n"/>
      <c r="U248" s="6">
        <f>IF(B248="","",LOWER(TRIM(B248)))</f>
        <v/>
      </c>
      <c r="V248" s="6">
        <f>IF(AND(U248&lt;&gt;"",OR(J248="Solved independently",J248="Solved with hints",J248="Solved after viewing solution"),COUNTIFS($U$2:U247,U248,$V$2:V247,1)=0),1,0)</f>
        <v/>
      </c>
      <c r="W248" s="6">
        <f>IF(AND(U248&lt;&gt;"",COUNTIF($U$2:$U$300,U248)&gt;1),"DUPLICATE KEY","")</f>
        <v/>
      </c>
    </row>
    <row r="249">
      <c r="A249" s="6" t="n"/>
      <c r="B249" s="9" t="n"/>
      <c r="C249" s="9" t="n"/>
      <c r="D249" s="6" t="n"/>
      <c r="E249" s="9" t="n"/>
      <c r="F249" s="9" t="n"/>
      <c r="G249" s="9" t="n"/>
      <c r="H249" s="6" t="n"/>
      <c r="I249" s="8" t="n"/>
      <c r="J249" s="9" t="inlineStr">
        <is>
          <t>Not started</t>
        </is>
      </c>
      <c r="K249" s="6">
        <f>IF(J249="Solved independently","Yes",IF(OR(J249="",J249="Not started"),"","No"))</f>
        <v/>
      </c>
      <c r="L249" s="9" t="n"/>
      <c r="M249" s="9" t="n"/>
      <c r="N249" s="9" t="n"/>
      <c r="O249" s="9" t="n"/>
      <c r="P249" s="10" t="n"/>
      <c r="Q249" s="9" t="n"/>
      <c r="R249" s="8" t="n"/>
      <c r="S249" s="11">
        <f>IF(R249="","",R249+IF(T249=0,3,IF(T249=1,7,IF(T249=2,21,45))))</f>
        <v/>
      </c>
      <c r="T249" s="9" t="n"/>
      <c r="U249" s="6">
        <f>IF(B249="","",LOWER(TRIM(B249)))</f>
        <v/>
      </c>
      <c r="V249" s="6">
        <f>IF(AND(U249&lt;&gt;"",OR(J249="Solved independently",J249="Solved with hints",J249="Solved after viewing solution"),COUNTIFS($U$2:U248,U249,$V$2:V248,1)=0),1,0)</f>
        <v/>
      </c>
      <c r="W249" s="6">
        <f>IF(AND(U249&lt;&gt;"",COUNTIF($U$2:$U$300,U249)&gt;1),"DUPLICATE KEY","")</f>
        <v/>
      </c>
    </row>
    <row r="250">
      <c r="A250" s="6" t="n"/>
      <c r="B250" s="9" t="n"/>
      <c r="C250" s="9" t="n"/>
      <c r="D250" s="6" t="n"/>
      <c r="E250" s="9" t="n"/>
      <c r="F250" s="9" t="n"/>
      <c r="G250" s="9" t="n"/>
      <c r="H250" s="6" t="n"/>
      <c r="I250" s="8" t="n"/>
      <c r="J250" s="9" t="inlineStr">
        <is>
          <t>Not started</t>
        </is>
      </c>
      <c r="K250" s="6">
        <f>IF(J250="Solved independently","Yes",IF(OR(J250="",J250="Not started"),"","No"))</f>
        <v/>
      </c>
      <c r="L250" s="9" t="n"/>
      <c r="M250" s="9" t="n"/>
      <c r="N250" s="9" t="n"/>
      <c r="O250" s="9" t="n"/>
      <c r="P250" s="10" t="n"/>
      <c r="Q250" s="9" t="n"/>
      <c r="R250" s="8" t="n"/>
      <c r="S250" s="11">
        <f>IF(R250="","",R250+IF(T250=0,3,IF(T250=1,7,IF(T250=2,21,45))))</f>
        <v/>
      </c>
      <c r="T250" s="9" t="n"/>
      <c r="U250" s="6">
        <f>IF(B250="","",LOWER(TRIM(B250)))</f>
        <v/>
      </c>
      <c r="V250" s="6">
        <f>IF(AND(U250&lt;&gt;"",OR(J250="Solved independently",J250="Solved with hints",J250="Solved after viewing solution"),COUNTIFS($U$2:U249,U250,$V$2:V249,1)=0),1,0)</f>
        <v/>
      </c>
      <c r="W250" s="6">
        <f>IF(AND(U250&lt;&gt;"",COUNTIF($U$2:$U$300,U250)&gt;1),"DUPLICATE KEY","")</f>
        <v/>
      </c>
    </row>
    <row r="251">
      <c r="A251" s="6" t="n"/>
      <c r="B251" s="9" t="n"/>
      <c r="C251" s="9" t="n"/>
      <c r="D251" s="6" t="n"/>
      <c r="E251" s="9" t="n"/>
      <c r="F251" s="9" t="n"/>
      <c r="G251" s="9" t="n"/>
      <c r="H251" s="6" t="n"/>
      <c r="I251" s="8" t="n"/>
      <c r="J251" s="9" t="inlineStr">
        <is>
          <t>Not started</t>
        </is>
      </c>
      <c r="K251" s="6">
        <f>IF(J251="Solved independently","Yes",IF(OR(J251="",J251="Not started"),"","No"))</f>
        <v/>
      </c>
      <c r="L251" s="9" t="n"/>
      <c r="M251" s="9" t="n"/>
      <c r="N251" s="9" t="n"/>
      <c r="O251" s="9" t="n"/>
      <c r="P251" s="10" t="n"/>
      <c r="Q251" s="9" t="n"/>
      <c r="R251" s="8" t="n"/>
      <c r="S251" s="11">
        <f>IF(R251="","",R251+IF(T251=0,3,IF(T251=1,7,IF(T251=2,21,45))))</f>
        <v/>
      </c>
      <c r="T251" s="9" t="n"/>
      <c r="U251" s="6">
        <f>IF(B251="","",LOWER(TRIM(B251)))</f>
        <v/>
      </c>
      <c r="V251" s="6">
        <f>IF(AND(U251&lt;&gt;"",OR(J251="Solved independently",J251="Solved with hints",J251="Solved after viewing solution"),COUNTIFS($U$2:U250,U251,$V$2:V250,1)=0),1,0)</f>
        <v/>
      </c>
      <c r="W251" s="6">
        <f>IF(AND(U251&lt;&gt;"",COUNTIF($U$2:$U$300,U251)&gt;1),"DUPLICATE KEY","")</f>
        <v/>
      </c>
    </row>
    <row r="252">
      <c r="A252" s="6" t="n"/>
      <c r="B252" s="9" t="n"/>
      <c r="C252" s="9" t="n"/>
      <c r="D252" s="6" t="n"/>
      <c r="E252" s="9" t="n"/>
      <c r="F252" s="9" t="n"/>
      <c r="G252" s="9" t="n"/>
      <c r="H252" s="6" t="n"/>
      <c r="I252" s="8" t="n"/>
      <c r="J252" s="9" t="inlineStr">
        <is>
          <t>Not started</t>
        </is>
      </c>
      <c r="K252" s="6">
        <f>IF(J252="Solved independently","Yes",IF(OR(J252="",J252="Not started"),"","No"))</f>
        <v/>
      </c>
      <c r="L252" s="9" t="n"/>
      <c r="M252" s="9" t="n"/>
      <c r="N252" s="9" t="n"/>
      <c r="O252" s="9" t="n"/>
      <c r="P252" s="10" t="n"/>
      <c r="Q252" s="9" t="n"/>
      <c r="R252" s="8" t="n"/>
      <c r="S252" s="11">
        <f>IF(R252="","",R252+IF(T252=0,3,IF(T252=1,7,IF(T252=2,21,45))))</f>
        <v/>
      </c>
      <c r="T252" s="9" t="n"/>
      <c r="U252" s="6">
        <f>IF(B252="","",LOWER(TRIM(B252)))</f>
        <v/>
      </c>
      <c r="V252" s="6">
        <f>IF(AND(U252&lt;&gt;"",OR(J252="Solved independently",J252="Solved with hints",J252="Solved after viewing solution"),COUNTIFS($U$2:U251,U252,$V$2:V251,1)=0),1,0)</f>
        <v/>
      </c>
      <c r="W252" s="6">
        <f>IF(AND(U252&lt;&gt;"",COUNTIF($U$2:$U$300,U252)&gt;1),"DUPLICATE KEY","")</f>
        <v/>
      </c>
    </row>
    <row r="253">
      <c r="A253" s="6" t="n"/>
      <c r="B253" s="9" t="n"/>
      <c r="C253" s="9" t="n"/>
      <c r="D253" s="6" t="n"/>
      <c r="E253" s="9" t="n"/>
      <c r="F253" s="9" t="n"/>
      <c r="G253" s="9" t="n"/>
      <c r="H253" s="6" t="n"/>
      <c r="I253" s="8" t="n"/>
      <c r="J253" s="9" t="inlineStr">
        <is>
          <t>Not started</t>
        </is>
      </c>
      <c r="K253" s="6">
        <f>IF(J253="Solved independently","Yes",IF(OR(J253="",J253="Not started"),"","No"))</f>
        <v/>
      </c>
      <c r="L253" s="9" t="n"/>
      <c r="M253" s="9" t="n"/>
      <c r="N253" s="9" t="n"/>
      <c r="O253" s="9" t="n"/>
      <c r="P253" s="10" t="n"/>
      <c r="Q253" s="9" t="n"/>
      <c r="R253" s="8" t="n"/>
      <c r="S253" s="11">
        <f>IF(R253="","",R253+IF(T253=0,3,IF(T253=1,7,IF(T253=2,21,45))))</f>
        <v/>
      </c>
      <c r="T253" s="9" t="n"/>
      <c r="U253" s="6">
        <f>IF(B253="","",LOWER(TRIM(B253)))</f>
        <v/>
      </c>
      <c r="V253" s="6">
        <f>IF(AND(U253&lt;&gt;"",OR(J253="Solved independently",J253="Solved with hints",J253="Solved after viewing solution"),COUNTIFS($U$2:U252,U253,$V$2:V252,1)=0),1,0)</f>
        <v/>
      </c>
      <c r="W253" s="6">
        <f>IF(AND(U253&lt;&gt;"",COUNTIF($U$2:$U$300,U253)&gt;1),"DUPLICATE KEY","")</f>
        <v/>
      </c>
    </row>
    <row r="254">
      <c r="A254" s="6" t="n"/>
      <c r="B254" s="9" t="n"/>
      <c r="C254" s="9" t="n"/>
      <c r="D254" s="6" t="n"/>
      <c r="E254" s="9" t="n"/>
      <c r="F254" s="9" t="n"/>
      <c r="G254" s="9" t="n"/>
      <c r="H254" s="6" t="n"/>
      <c r="I254" s="8" t="n"/>
      <c r="J254" s="9" t="inlineStr">
        <is>
          <t>Not started</t>
        </is>
      </c>
      <c r="K254" s="6">
        <f>IF(J254="Solved independently","Yes",IF(OR(J254="",J254="Not started"),"","No"))</f>
        <v/>
      </c>
      <c r="L254" s="9" t="n"/>
      <c r="M254" s="9" t="n"/>
      <c r="N254" s="9" t="n"/>
      <c r="O254" s="9" t="n"/>
      <c r="P254" s="10" t="n"/>
      <c r="Q254" s="9" t="n"/>
      <c r="R254" s="8" t="n"/>
      <c r="S254" s="11">
        <f>IF(R254="","",R254+IF(T254=0,3,IF(T254=1,7,IF(T254=2,21,45))))</f>
        <v/>
      </c>
      <c r="T254" s="9" t="n"/>
      <c r="U254" s="6">
        <f>IF(B254="","",LOWER(TRIM(B254)))</f>
        <v/>
      </c>
      <c r="V254" s="6">
        <f>IF(AND(U254&lt;&gt;"",OR(J254="Solved independently",J254="Solved with hints",J254="Solved after viewing solution"),COUNTIFS($U$2:U253,U254,$V$2:V253,1)=0),1,0)</f>
        <v/>
      </c>
      <c r="W254" s="6">
        <f>IF(AND(U254&lt;&gt;"",COUNTIF($U$2:$U$300,U254)&gt;1),"DUPLICATE KEY","")</f>
        <v/>
      </c>
    </row>
    <row r="255">
      <c r="A255" s="6" t="n"/>
      <c r="B255" s="9" t="n"/>
      <c r="C255" s="9" t="n"/>
      <c r="D255" s="6" t="n"/>
      <c r="E255" s="9" t="n"/>
      <c r="F255" s="9" t="n"/>
      <c r="G255" s="9" t="n"/>
      <c r="H255" s="6" t="n"/>
      <c r="I255" s="8" t="n"/>
      <c r="J255" s="9" t="inlineStr">
        <is>
          <t>Not started</t>
        </is>
      </c>
      <c r="K255" s="6">
        <f>IF(J255="Solved independently","Yes",IF(OR(J255="",J255="Not started"),"","No"))</f>
        <v/>
      </c>
      <c r="L255" s="9" t="n"/>
      <c r="M255" s="9" t="n"/>
      <c r="N255" s="9" t="n"/>
      <c r="O255" s="9" t="n"/>
      <c r="P255" s="10" t="n"/>
      <c r="Q255" s="9" t="n"/>
      <c r="R255" s="8" t="n"/>
      <c r="S255" s="11">
        <f>IF(R255="","",R255+IF(T255=0,3,IF(T255=1,7,IF(T255=2,21,45))))</f>
        <v/>
      </c>
      <c r="T255" s="9" t="n"/>
      <c r="U255" s="6">
        <f>IF(B255="","",LOWER(TRIM(B255)))</f>
        <v/>
      </c>
      <c r="V255" s="6">
        <f>IF(AND(U255&lt;&gt;"",OR(J255="Solved independently",J255="Solved with hints",J255="Solved after viewing solution"),COUNTIFS($U$2:U254,U255,$V$2:V254,1)=0),1,0)</f>
        <v/>
      </c>
      <c r="W255" s="6">
        <f>IF(AND(U255&lt;&gt;"",COUNTIF($U$2:$U$300,U255)&gt;1),"DUPLICATE KEY","")</f>
        <v/>
      </c>
    </row>
    <row r="256">
      <c r="A256" s="6" t="n"/>
      <c r="B256" s="9" t="n"/>
      <c r="C256" s="9" t="n"/>
      <c r="D256" s="6" t="n"/>
      <c r="E256" s="9" t="n"/>
      <c r="F256" s="9" t="n"/>
      <c r="G256" s="9" t="n"/>
      <c r="H256" s="6" t="n"/>
      <c r="I256" s="8" t="n"/>
      <c r="J256" s="9" t="inlineStr">
        <is>
          <t>Not started</t>
        </is>
      </c>
      <c r="K256" s="6">
        <f>IF(J256="Solved independently","Yes",IF(OR(J256="",J256="Not started"),"","No"))</f>
        <v/>
      </c>
      <c r="L256" s="9" t="n"/>
      <c r="M256" s="9" t="n"/>
      <c r="N256" s="9" t="n"/>
      <c r="O256" s="9" t="n"/>
      <c r="P256" s="10" t="n"/>
      <c r="Q256" s="9" t="n"/>
      <c r="R256" s="8" t="n"/>
      <c r="S256" s="11">
        <f>IF(R256="","",R256+IF(T256=0,3,IF(T256=1,7,IF(T256=2,21,45))))</f>
        <v/>
      </c>
      <c r="T256" s="9" t="n"/>
      <c r="U256" s="6">
        <f>IF(B256="","",LOWER(TRIM(B256)))</f>
        <v/>
      </c>
      <c r="V256" s="6">
        <f>IF(AND(U256&lt;&gt;"",OR(J256="Solved independently",J256="Solved with hints",J256="Solved after viewing solution"),COUNTIFS($U$2:U255,U256,$V$2:V255,1)=0),1,0)</f>
        <v/>
      </c>
      <c r="W256" s="6">
        <f>IF(AND(U256&lt;&gt;"",COUNTIF($U$2:$U$300,U256)&gt;1),"DUPLICATE KEY","")</f>
        <v/>
      </c>
    </row>
    <row r="257">
      <c r="A257" s="6" t="n"/>
      <c r="B257" s="9" t="n"/>
      <c r="C257" s="9" t="n"/>
      <c r="D257" s="6" t="n"/>
      <c r="E257" s="9" t="n"/>
      <c r="F257" s="9" t="n"/>
      <c r="G257" s="9" t="n"/>
      <c r="H257" s="6" t="n"/>
      <c r="I257" s="8" t="n"/>
      <c r="J257" s="9" t="inlineStr">
        <is>
          <t>Not started</t>
        </is>
      </c>
      <c r="K257" s="6">
        <f>IF(J257="Solved independently","Yes",IF(OR(J257="",J257="Not started"),"","No"))</f>
        <v/>
      </c>
      <c r="L257" s="9" t="n"/>
      <c r="M257" s="9" t="n"/>
      <c r="N257" s="9" t="n"/>
      <c r="O257" s="9" t="n"/>
      <c r="P257" s="10" t="n"/>
      <c r="Q257" s="9" t="n"/>
      <c r="R257" s="8" t="n"/>
      <c r="S257" s="11">
        <f>IF(R257="","",R257+IF(T257=0,3,IF(T257=1,7,IF(T257=2,21,45))))</f>
        <v/>
      </c>
      <c r="T257" s="9" t="n"/>
      <c r="U257" s="6">
        <f>IF(B257="","",LOWER(TRIM(B257)))</f>
        <v/>
      </c>
      <c r="V257" s="6">
        <f>IF(AND(U257&lt;&gt;"",OR(J257="Solved independently",J257="Solved with hints",J257="Solved after viewing solution"),COUNTIFS($U$2:U256,U257,$V$2:V256,1)=0),1,0)</f>
        <v/>
      </c>
      <c r="W257" s="6">
        <f>IF(AND(U257&lt;&gt;"",COUNTIF($U$2:$U$300,U257)&gt;1),"DUPLICATE KEY","")</f>
        <v/>
      </c>
    </row>
    <row r="258">
      <c r="A258" s="6" t="n"/>
      <c r="B258" s="9" t="n"/>
      <c r="C258" s="9" t="n"/>
      <c r="D258" s="6" t="n"/>
      <c r="E258" s="9" t="n"/>
      <c r="F258" s="9" t="n"/>
      <c r="G258" s="9" t="n"/>
      <c r="H258" s="6" t="n"/>
      <c r="I258" s="8" t="n"/>
      <c r="J258" s="9" t="inlineStr">
        <is>
          <t>Not started</t>
        </is>
      </c>
      <c r="K258" s="6">
        <f>IF(J258="Solved independently","Yes",IF(OR(J258="",J258="Not started"),"","No"))</f>
        <v/>
      </c>
      <c r="L258" s="9" t="n"/>
      <c r="M258" s="9" t="n"/>
      <c r="N258" s="9" t="n"/>
      <c r="O258" s="9" t="n"/>
      <c r="P258" s="10" t="n"/>
      <c r="Q258" s="9" t="n"/>
      <c r="R258" s="8" t="n"/>
      <c r="S258" s="11">
        <f>IF(R258="","",R258+IF(T258=0,3,IF(T258=1,7,IF(T258=2,21,45))))</f>
        <v/>
      </c>
      <c r="T258" s="9" t="n"/>
      <c r="U258" s="6">
        <f>IF(B258="","",LOWER(TRIM(B258)))</f>
        <v/>
      </c>
      <c r="V258" s="6">
        <f>IF(AND(U258&lt;&gt;"",OR(J258="Solved independently",J258="Solved with hints",J258="Solved after viewing solution"),COUNTIFS($U$2:U257,U258,$V$2:V257,1)=0),1,0)</f>
        <v/>
      </c>
      <c r="W258" s="6">
        <f>IF(AND(U258&lt;&gt;"",COUNTIF($U$2:$U$300,U258)&gt;1),"DUPLICATE KEY","")</f>
        <v/>
      </c>
    </row>
    <row r="259">
      <c r="A259" s="6" t="n"/>
      <c r="B259" s="9" t="n"/>
      <c r="C259" s="9" t="n"/>
      <c r="D259" s="6" t="n"/>
      <c r="E259" s="9" t="n"/>
      <c r="F259" s="9" t="n"/>
      <c r="G259" s="9" t="n"/>
      <c r="H259" s="6" t="n"/>
      <c r="I259" s="8" t="n"/>
      <c r="J259" s="9" t="inlineStr">
        <is>
          <t>Not started</t>
        </is>
      </c>
      <c r="K259" s="6">
        <f>IF(J259="Solved independently","Yes",IF(OR(J259="",J259="Not started"),"","No"))</f>
        <v/>
      </c>
      <c r="L259" s="9" t="n"/>
      <c r="M259" s="9" t="n"/>
      <c r="N259" s="9" t="n"/>
      <c r="O259" s="9" t="n"/>
      <c r="P259" s="10" t="n"/>
      <c r="Q259" s="9" t="n"/>
      <c r="R259" s="8" t="n"/>
      <c r="S259" s="11">
        <f>IF(R259="","",R259+IF(T259=0,3,IF(T259=1,7,IF(T259=2,21,45))))</f>
        <v/>
      </c>
      <c r="T259" s="9" t="n"/>
      <c r="U259" s="6">
        <f>IF(B259="","",LOWER(TRIM(B259)))</f>
        <v/>
      </c>
      <c r="V259" s="6">
        <f>IF(AND(U259&lt;&gt;"",OR(J259="Solved independently",J259="Solved with hints",J259="Solved after viewing solution"),COUNTIFS($U$2:U258,U259,$V$2:V258,1)=0),1,0)</f>
        <v/>
      </c>
      <c r="W259" s="6">
        <f>IF(AND(U259&lt;&gt;"",COUNTIF($U$2:$U$300,U259)&gt;1),"DUPLICATE KEY","")</f>
        <v/>
      </c>
    </row>
    <row r="260">
      <c r="A260" s="6" t="n"/>
      <c r="B260" s="9" t="n"/>
      <c r="C260" s="9" t="n"/>
      <c r="D260" s="6" t="n"/>
      <c r="E260" s="9" t="n"/>
      <c r="F260" s="9" t="n"/>
      <c r="G260" s="9" t="n"/>
      <c r="H260" s="6" t="n"/>
      <c r="I260" s="8" t="n"/>
      <c r="J260" s="9" t="inlineStr">
        <is>
          <t>Not started</t>
        </is>
      </c>
      <c r="K260" s="6">
        <f>IF(J260="Solved independently","Yes",IF(OR(J260="",J260="Not started"),"","No"))</f>
        <v/>
      </c>
      <c r="L260" s="9" t="n"/>
      <c r="M260" s="9" t="n"/>
      <c r="N260" s="9" t="n"/>
      <c r="O260" s="9" t="n"/>
      <c r="P260" s="10" t="n"/>
      <c r="Q260" s="9" t="n"/>
      <c r="R260" s="8" t="n"/>
      <c r="S260" s="11">
        <f>IF(R260="","",R260+IF(T260=0,3,IF(T260=1,7,IF(T260=2,21,45))))</f>
        <v/>
      </c>
      <c r="T260" s="9" t="n"/>
      <c r="U260" s="6">
        <f>IF(B260="","",LOWER(TRIM(B260)))</f>
        <v/>
      </c>
      <c r="V260" s="6">
        <f>IF(AND(U260&lt;&gt;"",OR(J260="Solved independently",J260="Solved with hints",J260="Solved after viewing solution"),COUNTIFS($U$2:U259,U260,$V$2:V259,1)=0),1,0)</f>
        <v/>
      </c>
      <c r="W260" s="6">
        <f>IF(AND(U260&lt;&gt;"",COUNTIF($U$2:$U$300,U260)&gt;1),"DUPLICATE KEY","")</f>
        <v/>
      </c>
    </row>
    <row r="261">
      <c r="A261" s="6" t="n"/>
      <c r="B261" s="9" t="n"/>
      <c r="C261" s="9" t="n"/>
      <c r="D261" s="6" t="n"/>
      <c r="E261" s="9" t="n"/>
      <c r="F261" s="9" t="n"/>
      <c r="G261" s="9" t="n"/>
      <c r="H261" s="6" t="n"/>
      <c r="I261" s="8" t="n"/>
      <c r="J261" s="9" t="inlineStr">
        <is>
          <t>Not started</t>
        </is>
      </c>
      <c r="K261" s="6">
        <f>IF(J261="Solved independently","Yes",IF(OR(J261="",J261="Not started"),"","No"))</f>
        <v/>
      </c>
      <c r="L261" s="9" t="n"/>
      <c r="M261" s="9" t="n"/>
      <c r="N261" s="9" t="n"/>
      <c r="O261" s="9" t="n"/>
      <c r="P261" s="10" t="n"/>
      <c r="Q261" s="9" t="n"/>
      <c r="R261" s="8" t="n"/>
      <c r="S261" s="11">
        <f>IF(R261="","",R261+IF(T261=0,3,IF(T261=1,7,IF(T261=2,21,45))))</f>
        <v/>
      </c>
      <c r="T261" s="9" t="n"/>
      <c r="U261" s="6">
        <f>IF(B261="","",LOWER(TRIM(B261)))</f>
        <v/>
      </c>
      <c r="V261" s="6">
        <f>IF(AND(U261&lt;&gt;"",OR(J261="Solved independently",J261="Solved with hints",J261="Solved after viewing solution"),COUNTIFS($U$2:U260,U261,$V$2:V260,1)=0),1,0)</f>
        <v/>
      </c>
      <c r="W261" s="6">
        <f>IF(AND(U261&lt;&gt;"",COUNTIF($U$2:$U$300,U261)&gt;1),"DUPLICATE KEY","")</f>
        <v/>
      </c>
    </row>
    <row r="262">
      <c r="A262" s="6" t="n"/>
      <c r="B262" s="9" t="n"/>
      <c r="C262" s="9" t="n"/>
      <c r="D262" s="6" t="n"/>
      <c r="E262" s="9" t="n"/>
      <c r="F262" s="9" t="n"/>
      <c r="G262" s="9" t="n"/>
      <c r="H262" s="6" t="n"/>
      <c r="I262" s="8" t="n"/>
      <c r="J262" s="9" t="inlineStr">
        <is>
          <t>Not started</t>
        </is>
      </c>
      <c r="K262" s="6">
        <f>IF(J262="Solved independently","Yes",IF(OR(J262="",J262="Not started"),"","No"))</f>
        <v/>
      </c>
      <c r="L262" s="9" t="n"/>
      <c r="M262" s="9" t="n"/>
      <c r="N262" s="9" t="n"/>
      <c r="O262" s="9" t="n"/>
      <c r="P262" s="10" t="n"/>
      <c r="Q262" s="9" t="n"/>
      <c r="R262" s="8" t="n"/>
      <c r="S262" s="11">
        <f>IF(R262="","",R262+IF(T262=0,3,IF(T262=1,7,IF(T262=2,21,45))))</f>
        <v/>
      </c>
      <c r="T262" s="9" t="n"/>
      <c r="U262" s="6">
        <f>IF(B262="","",LOWER(TRIM(B262)))</f>
        <v/>
      </c>
      <c r="V262" s="6">
        <f>IF(AND(U262&lt;&gt;"",OR(J262="Solved independently",J262="Solved with hints",J262="Solved after viewing solution"),COUNTIFS($U$2:U261,U262,$V$2:V261,1)=0),1,0)</f>
        <v/>
      </c>
      <c r="W262" s="6">
        <f>IF(AND(U262&lt;&gt;"",COUNTIF($U$2:$U$300,U262)&gt;1),"DUPLICATE KEY","")</f>
        <v/>
      </c>
    </row>
    <row r="263">
      <c r="A263" s="6" t="n"/>
      <c r="B263" s="9" t="n"/>
      <c r="C263" s="9" t="n"/>
      <c r="D263" s="6" t="n"/>
      <c r="E263" s="9" t="n"/>
      <c r="F263" s="9" t="n"/>
      <c r="G263" s="9" t="n"/>
      <c r="H263" s="6" t="n"/>
      <c r="I263" s="8" t="n"/>
      <c r="J263" s="9" t="inlineStr">
        <is>
          <t>Not started</t>
        </is>
      </c>
      <c r="K263" s="6">
        <f>IF(J263="Solved independently","Yes",IF(OR(J263="",J263="Not started"),"","No"))</f>
        <v/>
      </c>
      <c r="L263" s="9" t="n"/>
      <c r="M263" s="9" t="n"/>
      <c r="N263" s="9" t="n"/>
      <c r="O263" s="9" t="n"/>
      <c r="P263" s="10" t="n"/>
      <c r="Q263" s="9" t="n"/>
      <c r="R263" s="8" t="n"/>
      <c r="S263" s="11">
        <f>IF(R263="","",R263+IF(T263=0,3,IF(T263=1,7,IF(T263=2,21,45))))</f>
        <v/>
      </c>
      <c r="T263" s="9" t="n"/>
      <c r="U263" s="6">
        <f>IF(B263="","",LOWER(TRIM(B263)))</f>
        <v/>
      </c>
      <c r="V263" s="6">
        <f>IF(AND(U263&lt;&gt;"",OR(J263="Solved independently",J263="Solved with hints",J263="Solved after viewing solution"),COUNTIFS($U$2:U262,U263,$V$2:V262,1)=0),1,0)</f>
        <v/>
      </c>
      <c r="W263" s="6">
        <f>IF(AND(U263&lt;&gt;"",COUNTIF($U$2:$U$300,U263)&gt;1),"DUPLICATE KEY","")</f>
        <v/>
      </c>
    </row>
    <row r="264">
      <c r="A264" s="6" t="n"/>
      <c r="B264" s="9" t="n"/>
      <c r="C264" s="9" t="n"/>
      <c r="D264" s="6" t="n"/>
      <c r="E264" s="9" t="n"/>
      <c r="F264" s="9" t="n"/>
      <c r="G264" s="9" t="n"/>
      <c r="H264" s="6" t="n"/>
      <c r="I264" s="8" t="n"/>
      <c r="J264" s="9" t="inlineStr">
        <is>
          <t>Not started</t>
        </is>
      </c>
      <c r="K264" s="6">
        <f>IF(J264="Solved independently","Yes",IF(OR(J264="",J264="Not started"),"","No"))</f>
        <v/>
      </c>
      <c r="L264" s="9" t="n"/>
      <c r="M264" s="9" t="n"/>
      <c r="N264" s="9" t="n"/>
      <c r="O264" s="9" t="n"/>
      <c r="P264" s="10" t="n"/>
      <c r="Q264" s="9" t="n"/>
      <c r="R264" s="8" t="n"/>
      <c r="S264" s="11">
        <f>IF(R264="","",R264+IF(T264=0,3,IF(T264=1,7,IF(T264=2,21,45))))</f>
        <v/>
      </c>
      <c r="T264" s="9" t="n"/>
      <c r="U264" s="6">
        <f>IF(B264="","",LOWER(TRIM(B264)))</f>
        <v/>
      </c>
      <c r="V264" s="6">
        <f>IF(AND(U264&lt;&gt;"",OR(J264="Solved independently",J264="Solved with hints",J264="Solved after viewing solution"),COUNTIFS($U$2:U263,U264,$V$2:V263,1)=0),1,0)</f>
        <v/>
      </c>
      <c r="W264" s="6">
        <f>IF(AND(U264&lt;&gt;"",COUNTIF($U$2:$U$300,U264)&gt;1),"DUPLICATE KEY","")</f>
        <v/>
      </c>
    </row>
    <row r="265">
      <c r="A265" s="6" t="n"/>
      <c r="B265" s="9" t="n"/>
      <c r="C265" s="9" t="n"/>
      <c r="D265" s="6" t="n"/>
      <c r="E265" s="9" t="n"/>
      <c r="F265" s="9" t="n"/>
      <c r="G265" s="9" t="n"/>
      <c r="H265" s="6" t="n"/>
      <c r="I265" s="8" t="n"/>
      <c r="J265" s="9" t="inlineStr">
        <is>
          <t>Not started</t>
        </is>
      </c>
      <c r="K265" s="6">
        <f>IF(J265="Solved independently","Yes",IF(OR(J265="",J265="Not started"),"","No"))</f>
        <v/>
      </c>
      <c r="L265" s="9" t="n"/>
      <c r="M265" s="9" t="n"/>
      <c r="N265" s="9" t="n"/>
      <c r="O265" s="9" t="n"/>
      <c r="P265" s="10" t="n"/>
      <c r="Q265" s="9" t="n"/>
      <c r="R265" s="8" t="n"/>
      <c r="S265" s="11">
        <f>IF(R265="","",R265+IF(T265=0,3,IF(T265=1,7,IF(T265=2,21,45))))</f>
        <v/>
      </c>
      <c r="T265" s="9" t="n"/>
      <c r="U265" s="6">
        <f>IF(B265="","",LOWER(TRIM(B265)))</f>
        <v/>
      </c>
      <c r="V265" s="6">
        <f>IF(AND(U265&lt;&gt;"",OR(J265="Solved independently",J265="Solved with hints",J265="Solved after viewing solution"),COUNTIFS($U$2:U264,U265,$V$2:V264,1)=0),1,0)</f>
        <v/>
      </c>
      <c r="W265" s="6">
        <f>IF(AND(U265&lt;&gt;"",COUNTIF($U$2:$U$300,U265)&gt;1),"DUPLICATE KEY","")</f>
        <v/>
      </c>
    </row>
    <row r="266">
      <c r="A266" s="6" t="n"/>
      <c r="B266" s="9" t="n"/>
      <c r="C266" s="9" t="n"/>
      <c r="D266" s="6" t="n"/>
      <c r="E266" s="9" t="n"/>
      <c r="F266" s="9" t="n"/>
      <c r="G266" s="9" t="n"/>
      <c r="H266" s="6" t="n"/>
      <c r="I266" s="8" t="n"/>
      <c r="J266" s="9" t="inlineStr">
        <is>
          <t>Not started</t>
        </is>
      </c>
      <c r="K266" s="6">
        <f>IF(J266="Solved independently","Yes",IF(OR(J266="",J266="Not started"),"","No"))</f>
        <v/>
      </c>
      <c r="L266" s="9" t="n"/>
      <c r="M266" s="9" t="n"/>
      <c r="N266" s="9" t="n"/>
      <c r="O266" s="9" t="n"/>
      <c r="P266" s="10" t="n"/>
      <c r="Q266" s="9" t="n"/>
      <c r="R266" s="8" t="n"/>
      <c r="S266" s="11">
        <f>IF(R266="","",R266+IF(T266=0,3,IF(T266=1,7,IF(T266=2,21,45))))</f>
        <v/>
      </c>
      <c r="T266" s="9" t="n"/>
      <c r="U266" s="6">
        <f>IF(B266="","",LOWER(TRIM(B266)))</f>
        <v/>
      </c>
      <c r="V266" s="6">
        <f>IF(AND(U266&lt;&gt;"",OR(J266="Solved independently",J266="Solved with hints",J266="Solved after viewing solution"),COUNTIFS($U$2:U265,U266,$V$2:V265,1)=0),1,0)</f>
        <v/>
      </c>
      <c r="W266" s="6">
        <f>IF(AND(U266&lt;&gt;"",COUNTIF($U$2:$U$300,U266)&gt;1),"DUPLICATE KEY","")</f>
        <v/>
      </c>
    </row>
    <row r="267">
      <c r="A267" s="6" t="n"/>
      <c r="B267" s="9" t="n"/>
      <c r="C267" s="9" t="n"/>
      <c r="D267" s="6" t="n"/>
      <c r="E267" s="9" t="n"/>
      <c r="F267" s="9" t="n"/>
      <c r="G267" s="9" t="n"/>
      <c r="H267" s="6" t="n"/>
      <c r="I267" s="8" t="n"/>
      <c r="J267" s="9" t="inlineStr">
        <is>
          <t>Not started</t>
        </is>
      </c>
      <c r="K267" s="6">
        <f>IF(J267="Solved independently","Yes",IF(OR(J267="",J267="Not started"),"","No"))</f>
        <v/>
      </c>
      <c r="L267" s="9" t="n"/>
      <c r="M267" s="9" t="n"/>
      <c r="N267" s="9" t="n"/>
      <c r="O267" s="9" t="n"/>
      <c r="P267" s="10" t="n"/>
      <c r="Q267" s="9" t="n"/>
      <c r="R267" s="8" t="n"/>
      <c r="S267" s="11">
        <f>IF(R267="","",R267+IF(T267=0,3,IF(T267=1,7,IF(T267=2,21,45))))</f>
        <v/>
      </c>
      <c r="T267" s="9" t="n"/>
      <c r="U267" s="6">
        <f>IF(B267="","",LOWER(TRIM(B267)))</f>
        <v/>
      </c>
      <c r="V267" s="6">
        <f>IF(AND(U267&lt;&gt;"",OR(J267="Solved independently",J267="Solved with hints",J267="Solved after viewing solution"),COUNTIFS($U$2:U266,U267,$V$2:V266,1)=0),1,0)</f>
        <v/>
      </c>
      <c r="W267" s="6">
        <f>IF(AND(U267&lt;&gt;"",COUNTIF($U$2:$U$300,U267)&gt;1),"DUPLICATE KEY","")</f>
        <v/>
      </c>
    </row>
    <row r="268">
      <c r="A268" s="6" t="n"/>
      <c r="B268" s="9" t="n"/>
      <c r="C268" s="9" t="n"/>
      <c r="D268" s="6" t="n"/>
      <c r="E268" s="9" t="n"/>
      <c r="F268" s="9" t="n"/>
      <c r="G268" s="9" t="n"/>
      <c r="H268" s="6" t="n"/>
      <c r="I268" s="8" t="n"/>
      <c r="J268" s="9" t="inlineStr">
        <is>
          <t>Not started</t>
        </is>
      </c>
      <c r="K268" s="6">
        <f>IF(J268="Solved independently","Yes",IF(OR(J268="",J268="Not started"),"","No"))</f>
        <v/>
      </c>
      <c r="L268" s="9" t="n"/>
      <c r="M268" s="9" t="n"/>
      <c r="N268" s="9" t="n"/>
      <c r="O268" s="9" t="n"/>
      <c r="P268" s="10" t="n"/>
      <c r="Q268" s="9" t="n"/>
      <c r="R268" s="8" t="n"/>
      <c r="S268" s="11">
        <f>IF(R268="","",R268+IF(T268=0,3,IF(T268=1,7,IF(T268=2,21,45))))</f>
        <v/>
      </c>
      <c r="T268" s="9" t="n"/>
      <c r="U268" s="6">
        <f>IF(B268="","",LOWER(TRIM(B268)))</f>
        <v/>
      </c>
      <c r="V268" s="6">
        <f>IF(AND(U268&lt;&gt;"",OR(J268="Solved independently",J268="Solved with hints",J268="Solved after viewing solution"),COUNTIFS($U$2:U267,U268,$V$2:V267,1)=0),1,0)</f>
        <v/>
      </c>
      <c r="W268" s="6">
        <f>IF(AND(U268&lt;&gt;"",COUNTIF($U$2:$U$300,U268)&gt;1),"DUPLICATE KEY","")</f>
        <v/>
      </c>
    </row>
    <row r="269">
      <c r="A269" s="6" t="n"/>
      <c r="B269" s="9" t="n"/>
      <c r="C269" s="9" t="n"/>
      <c r="D269" s="6" t="n"/>
      <c r="E269" s="9" t="n"/>
      <c r="F269" s="9" t="n"/>
      <c r="G269" s="9" t="n"/>
      <c r="H269" s="6" t="n"/>
      <c r="I269" s="8" t="n"/>
      <c r="J269" s="9" t="inlineStr">
        <is>
          <t>Not started</t>
        </is>
      </c>
      <c r="K269" s="6">
        <f>IF(J269="Solved independently","Yes",IF(OR(J269="",J269="Not started"),"","No"))</f>
        <v/>
      </c>
      <c r="L269" s="9" t="n"/>
      <c r="M269" s="9" t="n"/>
      <c r="N269" s="9" t="n"/>
      <c r="O269" s="9" t="n"/>
      <c r="P269" s="10" t="n"/>
      <c r="Q269" s="9" t="n"/>
      <c r="R269" s="8" t="n"/>
      <c r="S269" s="11">
        <f>IF(R269="","",R269+IF(T269=0,3,IF(T269=1,7,IF(T269=2,21,45))))</f>
        <v/>
      </c>
      <c r="T269" s="9" t="n"/>
      <c r="U269" s="6">
        <f>IF(B269="","",LOWER(TRIM(B269)))</f>
        <v/>
      </c>
      <c r="V269" s="6">
        <f>IF(AND(U269&lt;&gt;"",OR(J269="Solved independently",J269="Solved with hints",J269="Solved after viewing solution"),COUNTIFS($U$2:U268,U269,$V$2:V268,1)=0),1,0)</f>
        <v/>
      </c>
      <c r="W269" s="6">
        <f>IF(AND(U269&lt;&gt;"",COUNTIF($U$2:$U$300,U269)&gt;1),"DUPLICATE KEY","")</f>
        <v/>
      </c>
    </row>
    <row r="270">
      <c r="A270" s="6" t="n"/>
      <c r="B270" s="9" t="n"/>
      <c r="C270" s="9" t="n"/>
      <c r="D270" s="6" t="n"/>
      <c r="E270" s="9" t="n"/>
      <c r="F270" s="9" t="n"/>
      <c r="G270" s="9" t="n"/>
      <c r="H270" s="6" t="n"/>
      <c r="I270" s="8" t="n"/>
      <c r="J270" s="9" t="inlineStr">
        <is>
          <t>Not started</t>
        </is>
      </c>
      <c r="K270" s="6">
        <f>IF(J270="Solved independently","Yes",IF(OR(J270="",J270="Not started"),"","No"))</f>
        <v/>
      </c>
      <c r="L270" s="9" t="n"/>
      <c r="M270" s="9" t="n"/>
      <c r="N270" s="9" t="n"/>
      <c r="O270" s="9" t="n"/>
      <c r="P270" s="10" t="n"/>
      <c r="Q270" s="9" t="n"/>
      <c r="R270" s="8" t="n"/>
      <c r="S270" s="11">
        <f>IF(R270="","",R270+IF(T270=0,3,IF(T270=1,7,IF(T270=2,21,45))))</f>
        <v/>
      </c>
      <c r="T270" s="9" t="n"/>
      <c r="U270" s="6">
        <f>IF(B270="","",LOWER(TRIM(B270)))</f>
        <v/>
      </c>
      <c r="V270" s="6">
        <f>IF(AND(U270&lt;&gt;"",OR(J270="Solved independently",J270="Solved with hints",J270="Solved after viewing solution"),COUNTIFS($U$2:U269,U270,$V$2:V269,1)=0),1,0)</f>
        <v/>
      </c>
      <c r="W270" s="6">
        <f>IF(AND(U270&lt;&gt;"",COUNTIF($U$2:$U$300,U270)&gt;1),"DUPLICATE KEY","")</f>
        <v/>
      </c>
    </row>
    <row r="271">
      <c r="A271" s="6" t="n"/>
      <c r="B271" s="9" t="n"/>
      <c r="C271" s="9" t="n"/>
      <c r="D271" s="6" t="n"/>
      <c r="E271" s="9" t="n"/>
      <c r="F271" s="9" t="n"/>
      <c r="G271" s="9" t="n"/>
      <c r="H271" s="6" t="n"/>
      <c r="I271" s="8" t="n"/>
      <c r="J271" s="9" t="inlineStr">
        <is>
          <t>Not started</t>
        </is>
      </c>
      <c r="K271" s="6">
        <f>IF(J271="Solved independently","Yes",IF(OR(J271="",J271="Not started"),"","No"))</f>
        <v/>
      </c>
      <c r="L271" s="9" t="n"/>
      <c r="M271" s="9" t="n"/>
      <c r="N271" s="9" t="n"/>
      <c r="O271" s="9" t="n"/>
      <c r="P271" s="10" t="n"/>
      <c r="Q271" s="9" t="n"/>
      <c r="R271" s="8" t="n"/>
      <c r="S271" s="11">
        <f>IF(R271="","",R271+IF(T271=0,3,IF(T271=1,7,IF(T271=2,21,45))))</f>
        <v/>
      </c>
      <c r="T271" s="9" t="n"/>
      <c r="U271" s="6">
        <f>IF(B271="","",LOWER(TRIM(B271)))</f>
        <v/>
      </c>
      <c r="V271" s="6">
        <f>IF(AND(U271&lt;&gt;"",OR(J271="Solved independently",J271="Solved with hints",J271="Solved after viewing solution"),COUNTIFS($U$2:U270,U271,$V$2:V270,1)=0),1,0)</f>
        <v/>
      </c>
      <c r="W271" s="6">
        <f>IF(AND(U271&lt;&gt;"",COUNTIF($U$2:$U$300,U271)&gt;1),"DUPLICATE KEY","")</f>
        <v/>
      </c>
    </row>
    <row r="272">
      <c r="A272" s="6" t="n"/>
      <c r="B272" s="9" t="n"/>
      <c r="C272" s="9" t="n"/>
      <c r="D272" s="6" t="n"/>
      <c r="E272" s="9" t="n"/>
      <c r="F272" s="9" t="n"/>
      <c r="G272" s="9" t="n"/>
      <c r="H272" s="6" t="n"/>
      <c r="I272" s="8" t="n"/>
      <c r="J272" s="9" t="inlineStr">
        <is>
          <t>Not started</t>
        </is>
      </c>
      <c r="K272" s="6">
        <f>IF(J272="Solved independently","Yes",IF(OR(J272="",J272="Not started"),"","No"))</f>
        <v/>
      </c>
      <c r="L272" s="9" t="n"/>
      <c r="M272" s="9" t="n"/>
      <c r="N272" s="9" t="n"/>
      <c r="O272" s="9" t="n"/>
      <c r="P272" s="10" t="n"/>
      <c r="Q272" s="9" t="n"/>
      <c r="R272" s="8" t="n"/>
      <c r="S272" s="11">
        <f>IF(R272="","",R272+IF(T272=0,3,IF(T272=1,7,IF(T272=2,21,45))))</f>
        <v/>
      </c>
      <c r="T272" s="9" t="n"/>
      <c r="U272" s="6">
        <f>IF(B272="","",LOWER(TRIM(B272)))</f>
        <v/>
      </c>
      <c r="V272" s="6">
        <f>IF(AND(U272&lt;&gt;"",OR(J272="Solved independently",J272="Solved with hints",J272="Solved after viewing solution"),COUNTIFS($U$2:U271,U272,$V$2:V271,1)=0),1,0)</f>
        <v/>
      </c>
      <c r="W272" s="6">
        <f>IF(AND(U272&lt;&gt;"",COUNTIF($U$2:$U$300,U272)&gt;1),"DUPLICATE KEY","")</f>
        <v/>
      </c>
    </row>
    <row r="273">
      <c r="A273" s="6" t="n"/>
      <c r="B273" s="9" t="n"/>
      <c r="C273" s="9" t="n"/>
      <c r="D273" s="6" t="n"/>
      <c r="E273" s="9" t="n"/>
      <c r="F273" s="9" t="n"/>
      <c r="G273" s="9" t="n"/>
      <c r="H273" s="6" t="n"/>
      <c r="I273" s="8" t="n"/>
      <c r="J273" s="9" t="inlineStr">
        <is>
          <t>Not started</t>
        </is>
      </c>
      <c r="K273" s="6">
        <f>IF(J273="Solved independently","Yes",IF(OR(J273="",J273="Not started"),"","No"))</f>
        <v/>
      </c>
      <c r="L273" s="9" t="n"/>
      <c r="M273" s="9" t="n"/>
      <c r="N273" s="9" t="n"/>
      <c r="O273" s="9" t="n"/>
      <c r="P273" s="10" t="n"/>
      <c r="Q273" s="9" t="n"/>
      <c r="R273" s="8" t="n"/>
      <c r="S273" s="11">
        <f>IF(R273="","",R273+IF(T273=0,3,IF(T273=1,7,IF(T273=2,21,45))))</f>
        <v/>
      </c>
      <c r="T273" s="9" t="n"/>
      <c r="U273" s="6">
        <f>IF(B273="","",LOWER(TRIM(B273)))</f>
        <v/>
      </c>
      <c r="V273" s="6">
        <f>IF(AND(U273&lt;&gt;"",OR(J273="Solved independently",J273="Solved with hints",J273="Solved after viewing solution"),COUNTIFS($U$2:U272,U273,$V$2:V272,1)=0),1,0)</f>
        <v/>
      </c>
      <c r="W273" s="6">
        <f>IF(AND(U273&lt;&gt;"",COUNTIF($U$2:$U$300,U273)&gt;1),"DUPLICATE KEY","")</f>
        <v/>
      </c>
    </row>
    <row r="274">
      <c r="A274" s="6" t="n"/>
      <c r="B274" s="9" t="n"/>
      <c r="C274" s="9" t="n"/>
      <c r="D274" s="6" t="n"/>
      <c r="E274" s="9" t="n"/>
      <c r="F274" s="9" t="n"/>
      <c r="G274" s="9" t="n"/>
      <c r="H274" s="6" t="n"/>
      <c r="I274" s="8" t="n"/>
      <c r="J274" s="9" t="inlineStr">
        <is>
          <t>Not started</t>
        </is>
      </c>
      <c r="K274" s="6">
        <f>IF(J274="Solved independently","Yes",IF(OR(J274="",J274="Not started"),"","No"))</f>
        <v/>
      </c>
      <c r="L274" s="9" t="n"/>
      <c r="M274" s="9" t="n"/>
      <c r="N274" s="9" t="n"/>
      <c r="O274" s="9" t="n"/>
      <c r="P274" s="10" t="n"/>
      <c r="Q274" s="9" t="n"/>
      <c r="R274" s="8" t="n"/>
      <c r="S274" s="11">
        <f>IF(R274="","",R274+IF(T274=0,3,IF(T274=1,7,IF(T274=2,21,45))))</f>
        <v/>
      </c>
      <c r="T274" s="9" t="n"/>
      <c r="U274" s="6">
        <f>IF(B274="","",LOWER(TRIM(B274)))</f>
        <v/>
      </c>
      <c r="V274" s="6">
        <f>IF(AND(U274&lt;&gt;"",OR(J274="Solved independently",J274="Solved with hints",J274="Solved after viewing solution"),COUNTIFS($U$2:U273,U274,$V$2:V273,1)=0),1,0)</f>
        <v/>
      </c>
      <c r="W274" s="6">
        <f>IF(AND(U274&lt;&gt;"",COUNTIF($U$2:$U$300,U274)&gt;1),"DUPLICATE KEY","")</f>
        <v/>
      </c>
    </row>
    <row r="275">
      <c r="A275" s="6" t="n"/>
      <c r="B275" s="9" t="n"/>
      <c r="C275" s="9" t="n"/>
      <c r="D275" s="6" t="n"/>
      <c r="E275" s="9" t="n"/>
      <c r="F275" s="9" t="n"/>
      <c r="G275" s="9" t="n"/>
      <c r="H275" s="6" t="n"/>
      <c r="I275" s="8" t="n"/>
      <c r="J275" s="9" t="inlineStr">
        <is>
          <t>Not started</t>
        </is>
      </c>
      <c r="K275" s="6">
        <f>IF(J275="Solved independently","Yes",IF(OR(J275="",J275="Not started"),"","No"))</f>
        <v/>
      </c>
      <c r="L275" s="9" t="n"/>
      <c r="M275" s="9" t="n"/>
      <c r="N275" s="9" t="n"/>
      <c r="O275" s="9" t="n"/>
      <c r="P275" s="10" t="n"/>
      <c r="Q275" s="9" t="n"/>
      <c r="R275" s="8" t="n"/>
      <c r="S275" s="11">
        <f>IF(R275="","",R275+IF(T275=0,3,IF(T275=1,7,IF(T275=2,21,45))))</f>
        <v/>
      </c>
      <c r="T275" s="9" t="n"/>
      <c r="U275" s="6">
        <f>IF(B275="","",LOWER(TRIM(B275)))</f>
        <v/>
      </c>
      <c r="V275" s="6">
        <f>IF(AND(U275&lt;&gt;"",OR(J275="Solved independently",J275="Solved with hints",J275="Solved after viewing solution"),COUNTIFS($U$2:U274,U275,$V$2:V274,1)=0),1,0)</f>
        <v/>
      </c>
      <c r="W275" s="6">
        <f>IF(AND(U275&lt;&gt;"",COUNTIF($U$2:$U$300,U275)&gt;1),"DUPLICATE KEY","")</f>
        <v/>
      </c>
    </row>
    <row r="276">
      <c r="A276" s="6" t="n"/>
      <c r="B276" s="9" t="n"/>
      <c r="C276" s="9" t="n"/>
      <c r="D276" s="6" t="n"/>
      <c r="E276" s="9" t="n"/>
      <c r="F276" s="9" t="n"/>
      <c r="G276" s="9" t="n"/>
      <c r="H276" s="6" t="n"/>
      <c r="I276" s="8" t="n"/>
      <c r="J276" s="9" t="inlineStr">
        <is>
          <t>Not started</t>
        </is>
      </c>
      <c r="K276" s="6">
        <f>IF(J276="Solved independently","Yes",IF(OR(J276="",J276="Not started"),"","No"))</f>
        <v/>
      </c>
      <c r="L276" s="9" t="n"/>
      <c r="M276" s="9" t="n"/>
      <c r="N276" s="9" t="n"/>
      <c r="O276" s="9" t="n"/>
      <c r="P276" s="10" t="n"/>
      <c r="Q276" s="9" t="n"/>
      <c r="R276" s="8" t="n"/>
      <c r="S276" s="11">
        <f>IF(R276="","",R276+IF(T276=0,3,IF(T276=1,7,IF(T276=2,21,45))))</f>
        <v/>
      </c>
      <c r="T276" s="9" t="n"/>
      <c r="U276" s="6">
        <f>IF(B276="","",LOWER(TRIM(B276)))</f>
        <v/>
      </c>
      <c r="V276" s="6">
        <f>IF(AND(U276&lt;&gt;"",OR(J276="Solved independently",J276="Solved with hints",J276="Solved after viewing solution"),COUNTIFS($U$2:U275,U276,$V$2:V275,1)=0),1,0)</f>
        <v/>
      </c>
      <c r="W276" s="6">
        <f>IF(AND(U276&lt;&gt;"",COUNTIF($U$2:$U$300,U276)&gt;1),"DUPLICATE KEY","")</f>
        <v/>
      </c>
    </row>
    <row r="277">
      <c r="A277" s="6" t="n"/>
      <c r="B277" s="9" t="n"/>
      <c r="C277" s="9" t="n"/>
      <c r="D277" s="6" t="n"/>
      <c r="E277" s="9" t="n"/>
      <c r="F277" s="9" t="n"/>
      <c r="G277" s="9" t="n"/>
      <c r="H277" s="6" t="n"/>
      <c r="I277" s="8" t="n"/>
      <c r="J277" s="9" t="inlineStr">
        <is>
          <t>Not started</t>
        </is>
      </c>
      <c r="K277" s="6">
        <f>IF(J277="Solved independently","Yes",IF(OR(J277="",J277="Not started"),"","No"))</f>
        <v/>
      </c>
      <c r="L277" s="9" t="n"/>
      <c r="M277" s="9" t="n"/>
      <c r="N277" s="9" t="n"/>
      <c r="O277" s="9" t="n"/>
      <c r="P277" s="10" t="n"/>
      <c r="Q277" s="9" t="n"/>
      <c r="R277" s="8" t="n"/>
      <c r="S277" s="11">
        <f>IF(R277="","",R277+IF(T277=0,3,IF(T277=1,7,IF(T277=2,21,45))))</f>
        <v/>
      </c>
      <c r="T277" s="9" t="n"/>
      <c r="U277" s="6">
        <f>IF(B277="","",LOWER(TRIM(B277)))</f>
        <v/>
      </c>
      <c r="V277" s="6">
        <f>IF(AND(U277&lt;&gt;"",OR(J277="Solved independently",J277="Solved with hints",J277="Solved after viewing solution"),COUNTIFS($U$2:U276,U277,$V$2:V276,1)=0),1,0)</f>
        <v/>
      </c>
      <c r="W277" s="6">
        <f>IF(AND(U277&lt;&gt;"",COUNTIF($U$2:$U$300,U277)&gt;1),"DUPLICATE KEY","")</f>
        <v/>
      </c>
    </row>
    <row r="278">
      <c r="A278" s="6" t="n"/>
      <c r="B278" s="9" t="n"/>
      <c r="C278" s="9" t="n"/>
      <c r="D278" s="6" t="n"/>
      <c r="E278" s="9" t="n"/>
      <c r="F278" s="9" t="n"/>
      <c r="G278" s="9" t="n"/>
      <c r="H278" s="6" t="n"/>
      <c r="I278" s="8" t="n"/>
      <c r="J278" s="9" t="inlineStr">
        <is>
          <t>Not started</t>
        </is>
      </c>
      <c r="K278" s="6">
        <f>IF(J278="Solved independently","Yes",IF(OR(J278="",J278="Not started"),"","No"))</f>
        <v/>
      </c>
      <c r="L278" s="9" t="n"/>
      <c r="M278" s="9" t="n"/>
      <c r="N278" s="9" t="n"/>
      <c r="O278" s="9" t="n"/>
      <c r="P278" s="10" t="n"/>
      <c r="Q278" s="9" t="n"/>
      <c r="R278" s="8" t="n"/>
      <c r="S278" s="11">
        <f>IF(R278="","",R278+IF(T278=0,3,IF(T278=1,7,IF(T278=2,21,45))))</f>
        <v/>
      </c>
      <c r="T278" s="9" t="n"/>
      <c r="U278" s="6">
        <f>IF(B278="","",LOWER(TRIM(B278)))</f>
        <v/>
      </c>
      <c r="V278" s="6">
        <f>IF(AND(U278&lt;&gt;"",OR(J278="Solved independently",J278="Solved with hints",J278="Solved after viewing solution"),COUNTIFS($U$2:U277,U278,$V$2:V277,1)=0),1,0)</f>
        <v/>
      </c>
      <c r="W278" s="6">
        <f>IF(AND(U278&lt;&gt;"",COUNTIF($U$2:$U$300,U278)&gt;1),"DUPLICATE KEY","")</f>
        <v/>
      </c>
    </row>
    <row r="279">
      <c r="A279" s="6" t="n"/>
      <c r="B279" s="9" t="n"/>
      <c r="C279" s="9" t="n"/>
      <c r="D279" s="6" t="n"/>
      <c r="E279" s="9" t="n"/>
      <c r="F279" s="9" t="n"/>
      <c r="G279" s="9" t="n"/>
      <c r="H279" s="6" t="n"/>
      <c r="I279" s="8" t="n"/>
      <c r="J279" s="9" t="inlineStr">
        <is>
          <t>Not started</t>
        </is>
      </c>
      <c r="K279" s="6">
        <f>IF(J279="Solved independently","Yes",IF(OR(J279="",J279="Not started"),"","No"))</f>
        <v/>
      </c>
      <c r="L279" s="9" t="n"/>
      <c r="M279" s="9" t="n"/>
      <c r="N279" s="9" t="n"/>
      <c r="O279" s="9" t="n"/>
      <c r="P279" s="10" t="n"/>
      <c r="Q279" s="9" t="n"/>
      <c r="R279" s="8" t="n"/>
      <c r="S279" s="11">
        <f>IF(R279="","",R279+IF(T279=0,3,IF(T279=1,7,IF(T279=2,21,45))))</f>
        <v/>
      </c>
      <c r="T279" s="9" t="n"/>
      <c r="U279" s="6">
        <f>IF(B279="","",LOWER(TRIM(B279)))</f>
        <v/>
      </c>
      <c r="V279" s="6">
        <f>IF(AND(U279&lt;&gt;"",OR(J279="Solved independently",J279="Solved with hints",J279="Solved after viewing solution"),COUNTIFS($U$2:U278,U279,$V$2:V278,1)=0),1,0)</f>
        <v/>
      </c>
      <c r="W279" s="6">
        <f>IF(AND(U279&lt;&gt;"",COUNTIF($U$2:$U$300,U279)&gt;1),"DUPLICATE KEY","")</f>
        <v/>
      </c>
    </row>
    <row r="280">
      <c r="A280" s="6" t="n"/>
      <c r="B280" s="9" t="n"/>
      <c r="C280" s="9" t="n"/>
      <c r="D280" s="6" t="n"/>
      <c r="E280" s="9" t="n"/>
      <c r="F280" s="9" t="n"/>
      <c r="G280" s="9" t="n"/>
      <c r="H280" s="6" t="n"/>
      <c r="I280" s="8" t="n"/>
      <c r="J280" s="9" t="inlineStr">
        <is>
          <t>Not started</t>
        </is>
      </c>
      <c r="K280" s="6">
        <f>IF(J280="Solved independently","Yes",IF(OR(J280="",J280="Not started"),"","No"))</f>
        <v/>
      </c>
      <c r="L280" s="9" t="n"/>
      <c r="M280" s="9" t="n"/>
      <c r="N280" s="9" t="n"/>
      <c r="O280" s="9" t="n"/>
      <c r="P280" s="10" t="n"/>
      <c r="Q280" s="9" t="n"/>
      <c r="R280" s="8" t="n"/>
      <c r="S280" s="11">
        <f>IF(R280="","",R280+IF(T280=0,3,IF(T280=1,7,IF(T280=2,21,45))))</f>
        <v/>
      </c>
      <c r="T280" s="9" t="n"/>
      <c r="U280" s="6">
        <f>IF(B280="","",LOWER(TRIM(B280)))</f>
        <v/>
      </c>
      <c r="V280" s="6">
        <f>IF(AND(U280&lt;&gt;"",OR(J280="Solved independently",J280="Solved with hints",J280="Solved after viewing solution"),COUNTIFS($U$2:U279,U280,$V$2:V279,1)=0),1,0)</f>
        <v/>
      </c>
      <c r="W280" s="6">
        <f>IF(AND(U280&lt;&gt;"",COUNTIF($U$2:$U$300,U280)&gt;1),"DUPLICATE KEY","")</f>
        <v/>
      </c>
    </row>
    <row r="281">
      <c r="A281" s="6" t="n"/>
      <c r="B281" s="9" t="n"/>
      <c r="C281" s="9" t="n"/>
      <c r="D281" s="6" t="n"/>
      <c r="E281" s="9" t="n"/>
      <c r="F281" s="9" t="n"/>
      <c r="G281" s="9" t="n"/>
      <c r="H281" s="6" t="n"/>
      <c r="I281" s="8" t="n"/>
      <c r="J281" s="9" t="inlineStr">
        <is>
          <t>Not started</t>
        </is>
      </c>
      <c r="K281" s="6">
        <f>IF(J281="Solved independently","Yes",IF(OR(J281="",J281="Not started"),"","No"))</f>
        <v/>
      </c>
      <c r="L281" s="9" t="n"/>
      <c r="M281" s="9" t="n"/>
      <c r="N281" s="9" t="n"/>
      <c r="O281" s="9" t="n"/>
      <c r="P281" s="10" t="n"/>
      <c r="Q281" s="9" t="n"/>
      <c r="R281" s="8" t="n"/>
      <c r="S281" s="11">
        <f>IF(R281="","",R281+IF(T281=0,3,IF(T281=1,7,IF(T281=2,21,45))))</f>
        <v/>
      </c>
      <c r="T281" s="9" t="n"/>
      <c r="U281" s="6">
        <f>IF(B281="","",LOWER(TRIM(B281)))</f>
        <v/>
      </c>
      <c r="V281" s="6">
        <f>IF(AND(U281&lt;&gt;"",OR(J281="Solved independently",J281="Solved with hints",J281="Solved after viewing solution"),COUNTIFS($U$2:U280,U281,$V$2:V280,1)=0),1,0)</f>
        <v/>
      </c>
      <c r="W281" s="6">
        <f>IF(AND(U281&lt;&gt;"",COUNTIF($U$2:$U$300,U281)&gt;1),"DUPLICATE KEY","")</f>
        <v/>
      </c>
    </row>
    <row r="282">
      <c r="A282" s="6" t="n"/>
      <c r="B282" s="9" t="n"/>
      <c r="C282" s="9" t="n"/>
      <c r="D282" s="6" t="n"/>
      <c r="E282" s="9" t="n"/>
      <c r="F282" s="9" t="n"/>
      <c r="G282" s="9" t="n"/>
      <c r="H282" s="6" t="n"/>
      <c r="I282" s="8" t="n"/>
      <c r="J282" s="9" t="inlineStr">
        <is>
          <t>Not started</t>
        </is>
      </c>
      <c r="K282" s="6">
        <f>IF(J282="Solved independently","Yes",IF(OR(J282="",J282="Not started"),"","No"))</f>
        <v/>
      </c>
      <c r="L282" s="9" t="n"/>
      <c r="M282" s="9" t="n"/>
      <c r="N282" s="9" t="n"/>
      <c r="O282" s="9" t="n"/>
      <c r="P282" s="10" t="n"/>
      <c r="Q282" s="9" t="n"/>
      <c r="R282" s="8" t="n"/>
      <c r="S282" s="11">
        <f>IF(R282="","",R282+IF(T282=0,3,IF(T282=1,7,IF(T282=2,21,45))))</f>
        <v/>
      </c>
      <c r="T282" s="9" t="n"/>
      <c r="U282" s="6">
        <f>IF(B282="","",LOWER(TRIM(B282)))</f>
        <v/>
      </c>
      <c r="V282" s="6">
        <f>IF(AND(U282&lt;&gt;"",OR(J282="Solved independently",J282="Solved with hints",J282="Solved after viewing solution"),COUNTIFS($U$2:U281,U282,$V$2:V281,1)=0),1,0)</f>
        <v/>
      </c>
      <c r="W282" s="6">
        <f>IF(AND(U282&lt;&gt;"",COUNTIF($U$2:$U$300,U282)&gt;1),"DUPLICATE KEY","")</f>
        <v/>
      </c>
    </row>
    <row r="283">
      <c r="A283" s="6" t="n"/>
      <c r="B283" s="9" t="n"/>
      <c r="C283" s="9" t="n"/>
      <c r="D283" s="6" t="n"/>
      <c r="E283" s="9" t="n"/>
      <c r="F283" s="9" t="n"/>
      <c r="G283" s="9" t="n"/>
      <c r="H283" s="6" t="n"/>
      <c r="I283" s="8" t="n"/>
      <c r="J283" s="9" t="inlineStr">
        <is>
          <t>Not started</t>
        </is>
      </c>
      <c r="K283" s="6">
        <f>IF(J283="Solved independently","Yes",IF(OR(J283="",J283="Not started"),"","No"))</f>
        <v/>
      </c>
      <c r="L283" s="9" t="n"/>
      <c r="M283" s="9" t="n"/>
      <c r="N283" s="9" t="n"/>
      <c r="O283" s="9" t="n"/>
      <c r="P283" s="10" t="n"/>
      <c r="Q283" s="9" t="n"/>
      <c r="R283" s="8" t="n"/>
      <c r="S283" s="11">
        <f>IF(R283="","",R283+IF(T283=0,3,IF(T283=1,7,IF(T283=2,21,45))))</f>
        <v/>
      </c>
      <c r="T283" s="9" t="n"/>
      <c r="U283" s="6">
        <f>IF(B283="","",LOWER(TRIM(B283)))</f>
        <v/>
      </c>
      <c r="V283" s="6">
        <f>IF(AND(U283&lt;&gt;"",OR(J283="Solved independently",J283="Solved with hints",J283="Solved after viewing solution"),COUNTIFS($U$2:U282,U283,$V$2:V282,1)=0),1,0)</f>
        <v/>
      </c>
      <c r="W283" s="6">
        <f>IF(AND(U283&lt;&gt;"",COUNTIF($U$2:$U$300,U283)&gt;1),"DUPLICATE KEY","")</f>
        <v/>
      </c>
    </row>
    <row r="284">
      <c r="A284" s="6" t="n"/>
      <c r="B284" s="9" t="n"/>
      <c r="C284" s="9" t="n"/>
      <c r="D284" s="6" t="n"/>
      <c r="E284" s="9" t="n"/>
      <c r="F284" s="9" t="n"/>
      <c r="G284" s="9" t="n"/>
      <c r="H284" s="6" t="n"/>
      <c r="I284" s="8" t="n"/>
      <c r="J284" s="9" t="inlineStr">
        <is>
          <t>Not started</t>
        </is>
      </c>
      <c r="K284" s="6">
        <f>IF(J284="Solved independently","Yes",IF(OR(J284="",J284="Not started"),"","No"))</f>
        <v/>
      </c>
      <c r="L284" s="9" t="n"/>
      <c r="M284" s="9" t="n"/>
      <c r="N284" s="9" t="n"/>
      <c r="O284" s="9" t="n"/>
      <c r="P284" s="10" t="n"/>
      <c r="Q284" s="9" t="n"/>
      <c r="R284" s="8" t="n"/>
      <c r="S284" s="11">
        <f>IF(R284="","",R284+IF(T284=0,3,IF(T284=1,7,IF(T284=2,21,45))))</f>
        <v/>
      </c>
      <c r="T284" s="9" t="n"/>
      <c r="U284" s="6">
        <f>IF(B284="","",LOWER(TRIM(B284)))</f>
        <v/>
      </c>
      <c r="V284" s="6">
        <f>IF(AND(U284&lt;&gt;"",OR(J284="Solved independently",J284="Solved with hints",J284="Solved after viewing solution"),COUNTIFS($U$2:U283,U284,$V$2:V283,1)=0),1,0)</f>
        <v/>
      </c>
      <c r="W284" s="6">
        <f>IF(AND(U284&lt;&gt;"",COUNTIF($U$2:$U$300,U284)&gt;1),"DUPLICATE KEY","")</f>
        <v/>
      </c>
    </row>
    <row r="285">
      <c r="A285" s="6" t="n"/>
      <c r="B285" s="9" t="n"/>
      <c r="C285" s="9" t="n"/>
      <c r="D285" s="6" t="n"/>
      <c r="E285" s="9" t="n"/>
      <c r="F285" s="9" t="n"/>
      <c r="G285" s="9" t="n"/>
      <c r="H285" s="6" t="n"/>
      <c r="I285" s="8" t="n"/>
      <c r="J285" s="9" t="inlineStr">
        <is>
          <t>Not started</t>
        </is>
      </c>
      <c r="K285" s="6">
        <f>IF(J285="Solved independently","Yes",IF(OR(J285="",J285="Not started"),"","No"))</f>
        <v/>
      </c>
      <c r="L285" s="9" t="n"/>
      <c r="M285" s="9" t="n"/>
      <c r="N285" s="9" t="n"/>
      <c r="O285" s="9" t="n"/>
      <c r="P285" s="10" t="n"/>
      <c r="Q285" s="9" t="n"/>
      <c r="R285" s="8" t="n"/>
      <c r="S285" s="11">
        <f>IF(R285="","",R285+IF(T285=0,3,IF(T285=1,7,IF(T285=2,21,45))))</f>
        <v/>
      </c>
      <c r="T285" s="9" t="n"/>
      <c r="U285" s="6">
        <f>IF(B285="","",LOWER(TRIM(B285)))</f>
        <v/>
      </c>
      <c r="V285" s="6">
        <f>IF(AND(U285&lt;&gt;"",OR(J285="Solved independently",J285="Solved with hints",J285="Solved after viewing solution"),COUNTIFS($U$2:U284,U285,$V$2:V284,1)=0),1,0)</f>
        <v/>
      </c>
      <c r="W285" s="6">
        <f>IF(AND(U285&lt;&gt;"",COUNTIF($U$2:$U$300,U285)&gt;1),"DUPLICATE KEY","")</f>
        <v/>
      </c>
    </row>
    <row r="286">
      <c r="A286" s="6" t="n"/>
      <c r="B286" s="9" t="n"/>
      <c r="C286" s="9" t="n"/>
      <c r="D286" s="6" t="n"/>
      <c r="E286" s="9" t="n"/>
      <c r="F286" s="9" t="n"/>
      <c r="G286" s="9" t="n"/>
      <c r="H286" s="6" t="n"/>
      <c r="I286" s="8" t="n"/>
      <c r="J286" s="9" t="inlineStr">
        <is>
          <t>Not started</t>
        </is>
      </c>
      <c r="K286" s="6">
        <f>IF(J286="Solved independently","Yes",IF(OR(J286="",J286="Not started"),"","No"))</f>
        <v/>
      </c>
      <c r="L286" s="9" t="n"/>
      <c r="M286" s="9" t="n"/>
      <c r="N286" s="9" t="n"/>
      <c r="O286" s="9" t="n"/>
      <c r="P286" s="10" t="n"/>
      <c r="Q286" s="9" t="n"/>
      <c r="R286" s="8" t="n"/>
      <c r="S286" s="11">
        <f>IF(R286="","",R286+IF(T286=0,3,IF(T286=1,7,IF(T286=2,21,45))))</f>
        <v/>
      </c>
      <c r="T286" s="9" t="n"/>
      <c r="U286" s="6">
        <f>IF(B286="","",LOWER(TRIM(B286)))</f>
        <v/>
      </c>
      <c r="V286" s="6">
        <f>IF(AND(U286&lt;&gt;"",OR(J286="Solved independently",J286="Solved with hints",J286="Solved after viewing solution"),COUNTIFS($U$2:U285,U286,$V$2:V285,1)=0),1,0)</f>
        <v/>
      </c>
      <c r="W286" s="6">
        <f>IF(AND(U286&lt;&gt;"",COUNTIF($U$2:$U$300,U286)&gt;1),"DUPLICATE KEY","")</f>
        <v/>
      </c>
    </row>
    <row r="287">
      <c r="A287" s="6" t="n"/>
      <c r="B287" s="9" t="n"/>
      <c r="C287" s="9" t="n"/>
      <c r="D287" s="6" t="n"/>
      <c r="E287" s="9" t="n"/>
      <c r="F287" s="9" t="n"/>
      <c r="G287" s="9" t="n"/>
      <c r="H287" s="6" t="n"/>
      <c r="I287" s="8" t="n"/>
      <c r="J287" s="9" t="inlineStr">
        <is>
          <t>Not started</t>
        </is>
      </c>
      <c r="K287" s="6">
        <f>IF(J287="Solved independently","Yes",IF(OR(J287="",J287="Not started"),"","No"))</f>
        <v/>
      </c>
      <c r="L287" s="9" t="n"/>
      <c r="M287" s="9" t="n"/>
      <c r="N287" s="9" t="n"/>
      <c r="O287" s="9" t="n"/>
      <c r="P287" s="10" t="n"/>
      <c r="Q287" s="9" t="n"/>
      <c r="R287" s="8" t="n"/>
      <c r="S287" s="11">
        <f>IF(R287="","",R287+IF(T287=0,3,IF(T287=1,7,IF(T287=2,21,45))))</f>
        <v/>
      </c>
      <c r="T287" s="9" t="n"/>
      <c r="U287" s="6">
        <f>IF(B287="","",LOWER(TRIM(B287)))</f>
        <v/>
      </c>
      <c r="V287" s="6">
        <f>IF(AND(U287&lt;&gt;"",OR(J287="Solved independently",J287="Solved with hints",J287="Solved after viewing solution"),COUNTIFS($U$2:U286,U287,$V$2:V286,1)=0),1,0)</f>
        <v/>
      </c>
      <c r="W287" s="6">
        <f>IF(AND(U287&lt;&gt;"",COUNTIF($U$2:$U$300,U287)&gt;1),"DUPLICATE KEY","")</f>
        <v/>
      </c>
    </row>
    <row r="288">
      <c r="A288" s="6" t="n"/>
      <c r="B288" s="9" t="n"/>
      <c r="C288" s="9" t="n"/>
      <c r="D288" s="6" t="n"/>
      <c r="E288" s="9" t="n"/>
      <c r="F288" s="9" t="n"/>
      <c r="G288" s="9" t="n"/>
      <c r="H288" s="6" t="n"/>
      <c r="I288" s="8" t="n"/>
      <c r="J288" s="9" t="inlineStr">
        <is>
          <t>Not started</t>
        </is>
      </c>
      <c r="K288" s="6">
        <f>IF(J288="Solved independently","Yes",IF(OR(J288="",J288="Not started"),"","No"))</f>
        <v/>
      </c>
      <c r="L288" s="9" t="n"/>
      <c r="M288" s="9" t="n"/>
      <c r="N288" s="9" t="n"/>
      <c r="O288" s="9" t="n"/>
      <c r="P288" s="10" t="n"/>
      <c r="Q288" s="9" t="n"/>
      <c r="R288" s="8" t="n"/>
      <c r="S288" s="11">
        <f>IF(R288="","",R288+IF(T288=0,3,IF(T288=1,7,IF(T288=2,21,45))))</f>
        <v/>
      </c>
      <c r="T288" s="9" t="n"/>
      <c r="U288" s="6">
        <f>IF(B288="","",LOWER(TRIM(B288)))</f>
        <v/>
      </c>
      <c r="V288" s="6">
        <f>IF(AND(U288&lt;&gt;"",OR(J288="Solved independently",J288="Solved with hints",J288="Solved after viewing solution"),COUNTIFS($U$2:U287,U288,$V$2:V287,1)=0),1,0)</f>
        <v/>
      </c>
      <c r="W288" s="6">
        <f>IF(AND(U288&lt;&gt;"",COUNTIF($U$2:$U$300,U288)&gt;1),"DUPLICATE KEY","")</f>
        <v/>
      </c>
    </row>
    <row r="289">
      <c r="A289" s="6" t="n"/>
      <c r="B289" s="9" t="n"/>
      <c r="C289" s="9" t="n"/>
      <c r="D289" s="6" t="n"/>
      <c r="E289" s="9" t="n"/>
      <c r="F289" s="9" t="n"/>
      <c r="G289" s="9" t="n"/>
      <c r="H289" s="6" t="n"/>
      <c r="I289" s="8" t="n"/>
      <c r="J289" s="9" t="inlineStr">
        <is>
          <t>Not started</t>
        </is>
      </c>
      <c r="K289" s="6">
        <f>IF(J289="Solved independently","Yes",IF(OR(J289="",J289="Not started"),"","No"))</f>
        <v/>
      </c>
      <c r="L289" s="9" t="n"/>
      <c r="M289" s="9" t="n"/>
      <c r="N289" s="9" t="n"/>
      <c r="O289" s="9" t="n"/>
      <c r="P289" s="10" t="n"/>
      <c r="Q289" s="9" t="n"/>
      <c r="R289" s="8" t="n"/>
      <c r="S289" s="11">
        <f>IF(R289="","",R289+IF(T289=0,3,IF(T289=1,7,IF(T289=2,21,45))))</f>
        <v/>
      </c>
      <c r="T289" s="9" t="n"/>
      <c r="U289" s="6">
        <f>IF(B289="","",LOWER(TRIM(B289)))</f>
        <v/>
      </c>
      <c r="V289" s="6">
        <f>IF(AND(U289&lt;&gt;"",OR(J289="Solved independently",J289="Solved with hints",J289="Solved after viewing solution"),COUNTIFS($U$2:U288,U289,$V$2:V288,1)=0),1,0)</f>
        <v/>
      </c>
      <c r="W289" s="6">
        <f>IF(AND(U289&lt;&gt;"",COUNTIF($U$2:$U$300,U289)&gt;1),"DUPLICATE KEY","")</f>
        <v/>
      </c>
    </row>
    <row r="290">
      <c r="A290" s="6" t="n"/>
      <c r="B290" s="9" t="n"/>
      <c r="C290" s="9" t="n"/>
      <c r="D290" s="6" t="n"/>
      <c r="E290" s="9" t="n"/>
      <c r="F290" s="9" t="n"/>
      <c r="G290" s="9" t="n"/>
      <c r="H290" s="6" t="n"/>
      <c r="I290" s="8" t="n"/>
      <c r="J290" s="9" t="inlineStr">
        <is>
          <t>Not started</t>
        </is>
      </c>
      <c r="K290" s="6">
        <f>IF(J290="Solved independently","Yes",IF(OR(J290="",J290="Not started"),"","No"))</f>
        <v/>
      </c>
      <c r="L290" s="9" t="n"/>
      <c r="M290" s="9" t="n"/>
      <c r="N290" s="9" t="n"/>
      <c r="O290" s="9" t="n"/>
      <c r="P290" s="10" t="n"/>
      <c r="Q290" s="9" t="n"/>
      <c r="R290" s="8" t="n"/>
      <c r="S290" s="11">
        <f>IF(R290="","",R290+IF(T290=0,3,IF(T290=1,7,IF(T290=2,21,45))))</f>
        <v/>
      </c>
      <c r="T290" s="9" t="n"/>
      <c r="U290" s="6">
        <f>IF(B290="","",LOWER(TRIM(B290)))</f>
        <v/>
      </c>
      <c r="V290" s="6">
        <f>IF(AND(U290&lt;&gt;"",OR(J290="Solved independently",J290="Solved with hints",J290="Solved after viewing solution"),COUNTIFS($U$2:U289,U290,$V$2:V289,1)=0),1,0)</f>
        <v/>
      </c>
      <c r="W290" s="6">
        <f>IF(AND(U290&lt;&gt;"",COUNTIF($U$2:$U$300,U290)&gt;1),"DUPLICATE KEY","")</f>
        <v/>
      </c>
    </row>
    <row r="291">
      <c r="A291" s="6" t="n"/>
      <c r="B291" s="9" t="n"/>
      <c r="C291" s="9" t="n"/>
      <c r="D291" s="6" t="n"/>
      <c r="E291" s="9" t="n"/>
      <c r="F291" s="9" t="n"/>
      <c r="G291" s="9" t="n"/>
      <c r="H291" s="6" t="n"/>
      <c r="I291" s="8" t="n"/>
      <c r="J291" s="9" t="inlineStr">
        <is>
          <t>Not started</t>
        </is>
      </c>
      <c r="K291" s="6">
        <f>IF(J291="Solved independently","Yes",IF(OR(J291="",J291="Not started"),"","No"))</f>
        <v/>
      </c>
      <c r="L291" s="9" t="n"/>
      <c r="M291" s="9" t="n"/>
      <c r="N291" s="9" t="n"/>
      <c r="O291" s="9" t="n"/>
      <c r="P291" s="10" t="n"/>
      <c r="Q291" s="9" t="n"/>
      <c r="R291" s="8" t="n"/>
      <c r="S291" s="11">
        <f>IF(R291="","",R291+IF(T291=0,3,IF(T291=1,7,IF(T291=2,21,45))))</f>
        <v/>
      </c>
      <c r="T291" s="9" t="n"/>
      <c r="U291" s="6">
        <f>IF(B291="","",LOWER(TRIM(B291)))</f>
        <v/>
      </c>
      <c r="V291" s="6">
        <f>IF(AND(U291&lt;&gt;"",OR(J291="Solved independently",J291="Solved with hints",J291="Solved after viewing solution"),COUNTIFS($U$2:U290,U291,$V$2:V290,1)=0),1,0)</f>
        <v/>
      </c>
      <c r="W291" s="6">
        <f>IF(AND(U291&lt;&gt;"",COUNTIF($U$2:$U$300,U291)&gt;1),"DUPLICATE KEY","")</f>
        <v/>
      </c>
    </row>
    <row r="292">
      <c r="A292" s="6" t="n"/>
      <c r="B292" s="9" t="n"/>
      <c r="C292" s="9" t="n"/>
      <c r="D292" s="6" t="n"/>
      <c r="E292" s="9" t="n"/>
      <c r="F292" s="9" t="n"/>
      <c r="G292" s="9" t="n"/>
      <c r="H292" s="6" t="n"/>
      <c r="I292" s="8" t="n"/>
      <c r="J292" s="9" t="inlineStr">
        <is>
          <t>Not started</t>
        </is>
      </c>
      <c r="K292" s="6">
        <f>IF(J292="Solved independently","Yes",IF(OR(J292="",J292="Not started"),"","No"))</f>
        <v/>
      </c>
      <c r="L292" s="9" t="n"/>
      <c r="M292" s="9" t="n"/>
      <c r="N292" s="9" t="n"/>
      <c r="O292" s="9" t="n"/>
      <c r="P292" s="10" t="n"/>
      <c r="Q292" s="9" t="n"/>
      <c r="R292" s="8" t="n"/>
      <c r="S292" s="11">
        <f>IF(R292="","",R292+IF(T292=0,3,IF(T292=1,7,IF(T292=2,21,45))))</f>
        <v/>
      </c>
      <c r="T292" s="9" t="n"/>
      <c r="U292" s="6">
        <f>IF(B292="","",LOWER(TRIM(B292)))</f>
        <v/>
      </c>
      <c r="V292" s="6">
        <f>IF(AND(U292&lt;&gt;"",OR(J292="Solved independently",J292="Solved with hints",J292="Solved after viewing solution"),COUNTIFS($U$2:U291,U292,$V$2:V291,1)=0),1,0)</f>
        <v/>
      </c>
      <c r="W292" s="6">
        <f>IF(AND(U292&lt;&gt;"",COUNTIF($U$2:$U$300,U292)&gt;1),"DUPLICATE KEY","")</f>
        <v/>
      </c>
    </row>
    <row r="293">
      <c r="A293" s="6" t="n"/>
      <c r="B293" s="9" t="n"/>
      <c r="C293" s="9" t="n"/>
      <c r="D293" s="6" t="n"/>
      <c r="E293" s="9" t="n"/>
      <c r="F293" s="9" t="n"/>
      <c r="G293" s="9" t="n"/>
      <c r="H293" s="6" t="n"/>
      <c r="I293" s="8" t="n"/>
      <c r="J293" s="9" t="inlineStr">
        <is>
          <t>Not started</t>
        </is>
      </c>
      <c r="K293" s="6">
        <f>IF(J293="Solved independently","Yes",IF(OR(J293="",J293="Not started"),"","No"))</f>
        <v/>
      </c>
      <c r="L293" s="9" t="n"/>
      <c r="M293" s="9" t="n"/>
      <c r="N293" s="9" t="n"/>
      <c r="O293" s="9" t="n"/>
      <c r="P293" s="10" t="n"/>
      <c r="Q293" s="9" t="n"/>
      <c r="R293" s="8" t="n"/>
      <c r="S293" s="11">
        <f>IF(R293="","",R293+IF(T293=0,3,IF(T293=1,7,IF(T293=2,21,45))))</f>
        <v/>
      </c>
      <c r="T293" s="9" t="n"/>
      <c r="U293" s="6">
        <f>IF(B293="","",LOWER(TRIM(B293)))</f>
        <v/>
      </c>
      <c r="V293" s="6">
        <f>IF(AND(U293&lt;&gt;"",OR(J293="Solved independently",J293="Solved with hints",J293="Solved after viewing solution"),COUNTIFS($U$2:U292,U293,$V$2:V292,1)=0),1,0)</f>
        <v/>
      </c>
      <c r="W293" s="6">
        <f>IF(AND(U293&lt;&gt;"",COUNTIF($U$2:$U$300,U293)&gt;1),"DUPLICATE KEY","")</f>
        <v/>
      </c>
    </row>
    <row r="294">
      <c r="A294" s="6" t="n"/>
      <c r="B294" s="9" t="n"/>
      <c r="C294" s="9" t="n"/>
      <c r="D294" s="6" t="n"/>
      <c r="E294" s="9" t="n"/>
      <c r="F294" s="9" t="n"/>
      <c r="G294" s="9" t="n"/>
      <c r="H294" s="6" t="n"/>
      <c r="I294" s="8" t="n"/>
      <c r="J294" s="9" t="inlineStr">
        <is>
          <t>Not started</t>
        </is>
      </c>
      <c r="K294" s="6">
        <f>IF(J294="Solved independently","Yes",IF(OR(J294="",J294="Not started"),"","No"))</f>
        <v/>
      </c>
      <c r="L294" s="9" t="n"/>
      <c r="M294" s="9" t="n"/>
      <c r="N294" s="9" t="n"/>
      <c r="O294" s="9" t="n"/>
      <c r="P294" s="10" t="n"/>
      <c r="Q294" s="9" t="n"/>
      <c r="R294" s="8" t="n"/>
      <c r="S294" s="11">
        <f>IF(R294="","",R294+IF(T294=0,3,IF(T294=1,7,IF(T294=2,21,45))))</f>
        <v/>
      </c>
      <c r="T294" s="9" t="n"/>
      <c r="U294" s="6">
        <f>IF(B294="","",LOWER(TRIM(B294)))</f>
        <v/>
      </c>
      <c r="V294" s="6">
        <f>IF(AND(U294&lt;&gt;"",OR(J294="Solved independently",J294="Solved with hints",J294="Solved after viewing solution"),COUNTIFS($U$2:U293,U294,$V$2:V293,1)=0),1,0)</f>
        <v/>
      </c>
      <c r="W294" s="6">
        <f>IF(AND(U294&lt;&gt;"",COUNTIF($U$2:$U$300,U294)&gt;1),"DUPLICATE KEY","")</f>
        <v/>
      </c>
    </row>
    <row r="295">
      <c r="A295" s="6" t="n"/>
      <c r="B295" s="9" t="n"/>
      <c r="C295" s="9" t="n"/>
      <c r="D295" s="6" t="n"/>
      <c r="E295" s="9" t="n"/>
      <c r="F295" s="9" t="n"/>
      <c r="G295" s="9" t="n"/>
      <c r="H295" s="6" t="n"/>
      <c r="I295" s="8" t="n"/>
      <c r="J295" s="9" t="inlineStr">
        <is>
          <t>Not started</t>
        </is>
      </c>
      <c r="K295" s="6">
        <f>IF(J295="Solved independently","Yes",IF(OR(J295="",J295="Not started"),"","No"))</f>
        <v/>
      </c>
      <c r="L295" s="9" t="n"/>
      <c r="M295" s="9" t="n"/>
      <c r="N295" s="9" t="n"/>
      <c r="O295" s="9" t="n"/>
      <c r="P295" s="10" t="n"/>
      <c r="Q295" s="9" t="n"/>
      <c r="R295" s="8" t="n"/>
      <c r="S295" s="11">
        <f>IF(R295="","",R295+IF(T295=0,3,IF(T295=1,7,IF(T295=2,21,45))))</f>
        <v/>
      </c>
      <c r="T295" s="9" t="n"/>
      <c r="U295" s="6">
        <f>IF(B295="","",LOWER(TRIM(B295)))</f>
        <v/>
      </c>
      <c r="V295" s="6">
        <f>IF(AND(U295&lt;&gt;"",OR(J295="Solved independently",J295="Solved with hints",J295="Solved after viewing solution"),COUNTIFS($U$2:U294,U295,$V$2:V294,1)=0),1,0)</f>
        <v/>
      </c>
      <c r="W295" s="6">
        <f>IF(AND(U295&lt;&gt;"",COUNTIF($U$2:$U$300,U295)&gt;1),"DUPLICATE KEY","")</f>
        <v/>
      </c>
    </row>
    <row r="296">
      <c r="A296" s="6" t="n"/>
      <c r="B296" s="9" t="n"/>
      <c r="C296" s="9" t="n"/>
      <c r="D296" s="6" t="n"/>
      <c r="E296" s="9" t="n"/>
      <c r="F296" s="9" t="n"/>
      <c r="G296" s="9" t="n"/>
      <c r="H296" s="6" t="n"/>
      <c r="I296" s="8" t="n"/>
      <c r="J296" s="9" t="inlineStr">
        <is>
          <t>Not started</t>
        </is>
      </c>
      <c r="K296" s="6">
        <f>IF(J296="Solved independently","Yes",IF(OR(J296="",J296="Not started"),"","No"))</f>
        <v/>
      </c>
      <c r="L296" s="9" t="n"/>
      <c r="M296" s="9" t="n"/>
      <c r="N296" s="9" t="n"/>
      <c r="O296" s="9" t="n"/>
      <c r="P296" s="10" t="n"/>
      <c r="Q296" s="9" t="n"/>
      <c r="R296" s="8" t="n"/>
      <c r="S296" s="11">
        <f>IF(R296="","",R296+IF(T296=0,3,IF(T296=1,7,IF(T296=2,21,45))))</f>
        <v/>
      </c>
      <c r="T296" s="9" t="n"/>
      <c r="U296" s="6">
        <f>IF(B296="","",LOWER(TRIM(B296)))</f>
        <v/>
      </c>
      <c r="V296" s="6">
        <f>IF(AND(U296&lt;&gt;"",OR(J296="Solved independently",J296="Solved with hints",J296="Solved after viewing solution"),COUNTIFS($U$2:U295,U296,$V$2:V295,1)=0),1,0)</f>
        <v/>
      </c>
      <c r="W296" s="6">
        <f>IF(AND(U296&lt;&gt;"",COUNTIF($U$2:$U$300,U296)&gt;1),"DUPLICATE KEY","")</f>
        <v/>
      </c>
    </row>
    <row r="297">
      <c r="A297" s="6" t="n"/>
      <c r="B297" s="9" t="n"/>
      <c r="C297" s="9" t="n"/>
      <c r="D297" s="6" t="n"/>
      <c r="E297" s="9" t="n"/>
      <c r="F297" s="9" t="n"/>
      <c r="G297" s="9" t="n"/>
      <c r="H297" s="6" t="n"/>
      <c r="I297" s="8" t="n"/>
      <c r="J297" s="9" t="inlineStr">
        <is>
          <t>Not started</t>
        </is>
      </c>
      <c r="K297" s="6">
        <f>IF(J297="Solved independently","Yes",IF(OR(J297="",J297="Not started"),"","No"))</f>
        <v/>
      </c>
      <c r="L297" s="9" t="n"/>
      <c r="M297" s="9" t="n"/>
      <c r="N297" s="9" t="n"/>
      <c r="O297" s="9" t="n"/>
      <c r="P297" s="10" t="n"/>
      <c r="Q297" s="9" t="n"/>
      <c r="R297" s="8" t="n"/>
      <c r="S297" s="11">
        <f>IF(R297="","",R297+IF(T297=0,3,IF(T297=1,7,IF(T297=2,21,45))))</f>
        <v/>
      </c>
      <c r="T297" s="9" t="n"/>
      <c r="U297" s="6">
        <f>IF(B297="","",LOWER(TRIM(B297)))</f>
        <v/>
      </c>
      <c r="V297" s="6">
        <f>IF(AND(U297&lt;&gt;"",OR(J297="Solved independently",J297="Solved with hints",J297="Solved after viewing solution"),COUNTIFS($U$2:U296,U297,$V$2:V296,1)=0),1,0)</f>
        <v/>
      </c>
      <c r="W297" s="6">
        <f>IF(AND(U297&lt;&gt;"",COUNTIF($U$2:$U$300,U297)&gt;1),"DUPLICATE KEY","")</f>
        <v/>
      </c>
    </row>
    <row r="298">
      <c r="A298" s="6" t="n"/>
      <c r="B298" s="9" t="n"/>
      <c r="C298" s="9" t="n"/>
      <c r="D298" s="6" t="n"/>
      <c r="E298" s="9" t="n"/>
      <c r="F298" s="9" t="n"/>
      <c r="G298" s="9" t="n"/>
      <c r="H298" s="6" t="n"/>
      <c r="I298" s="8" t="n"/>
      <c r="J298" s="9" t="inlineStr">
        <is>
          <t>Not started</t>
        </is>
      </c>
      <c r="K298" s="6">
        <f>IF(J298="Solved independently","Yes",IF(OR(J298="",J298="Not started"),"","No"))</f>
        <v/>
      </c>
      <c r="L298" s="9" t="n"/>
      <c r="M298" s="9" t="n"/>
      <c r="N298" s="9" t="n"/>
      <c r="O298" s="9" t="n"/>
      <c r="P298" s="10" t="n"/>
      <c r="Q298" s="9" t="n"/>
      <c r="R298" s="8" t="n"/>
      <c r="S298" s="11">
        <f>IF(R298="","",R298+IF(T298=0,3,IF(T298=1,7,IF(T298=2,21,45))))</f>
        <v/>
      </c>
      <c r="T298" s="9" t="n"/>
      <c r="U298" s="6">
        <f>IF(B298="","",LOWER(TRIM(B298)))</f>
        <v/>
      </c>
      <c r="V298" s="6">
        <f>IF(AND(U298&lt;&gt;"",OR(J298="Solved independently",J298="Solved with hints",J298="Solved after viewing solution"),COUNTIFS($U$2:U297,U298,$V$2:V297,1)=0),1,0)</f>
        <v/>
      </c>
      <c r="W298" s="6">
        <f>IF(AND(U298&lt;&gt;"",COUNTIF($U$2:$U$300,U298)&gt;1),"DUPLICATE KEY","")</f>
        <v/>
      </c>
    </row>
    <row r="299">
      <c r="A299" s="6" t="n"/>
      <c r="B299" s="9" t="n"/>
      <c r="C299" s="9" t="n"/>
      <c r="D299" s="6" t="n"/>
      <c r="E299" s="9" t="n"/>
      <c r="F299" s="9" t="n"/>
      <c r="G299" s="9" t="n"/>
      <c r="H299" s="6" t="n"/>
      <c r="I299" s="8" t="n"/>
      <c r="J299" s="9" t="inlineStr">
        <is>
          <t>Not started</t>
        </is>
      </c>
      <c r="K299" s="6">
        <f>IF(J299="Solved independently","Yes",IF(OR(J299="",J299="Not started"),"","No"))</f>
        <v/>
      </c>
      <c r="L299" s="9" t="n"/>
      <c r="M299" s="9" t="n"/>
      <c r="N299" s="9" t="n"/>
      <c r="O299" s="9" t="n"/>
      <c r="P299" s="10" t="n"/>
      <c r="Q299" s="9" t="n"/>
      <c r="R299" s="8" t="n"/>
      <c r="S299" s="11">
        <f>IF(R299="","",R299+IF(T299=0,3,IF(T299=1,7,IF(T299=2,21,45))))</f>
        <v/>
      </c>
      <c r="T299" s="9" t="n"/>
      <c r="U299" s="6">
        <f>IF(B299="","",LOWER(TRIM(B299)))</f>
        <v/>
      </c>
      <c r="V299" s="6">
        <f>IF(AND(U299&lt;&gt;"",OR(J299="Solved independently",J299="Solved with hints",J299="Solved after viewing solution"),COUNTIFS($U$2:U298,U299,$V$2:V298,1)=0),1,0)</f>
        <v/>
      </c>
      <c r="W299" s="6">
        <f>IF(AND(U299&lt;&gt;"",COUNTIF($U$2:$U$300,U299)&gt;1),"DUPLICATE KEY","")</f>
        <v/>
      </c>
    </row>
    <row r="300">
      <c r="A300" s="6" t="n"/>
      <c r="B300" s="9" t="n"/>
      <c r="C300" s="9" t="n"/>
      <c r="D300" s="6" t="n"/>
      <c r="E300" s="9" t="n"/>
      <c r="F300" s="9" t="n"/>
      <c r="G300" s="9" t="n"/>
      <c r="H300" s="6" t="n"/>
      <c r="I300" s="8" t="n"/>
      <c r="J300" s="9" t="inlineStr">
        <is>
          <t>Not started</t>
        </is>
      </c>
      <c r="K300" s="6">
        <f>IF(J300="Solved independently","Yes",IF(OR(J300="",J300="Not started"),"","No"))</f>
        <v/>
      </c>
      <c r="L300" s="9" t="n"/>
      <c r="M300" s="9" t="n"/>
      <c r="N300" s="9" t="n"/>
      <c r="O300" s="9" t="n"/>
      <c r="P300" s="10" t="n"/>
      <c r="Q300" s="9" t="n"/>
      <c r="R300" s="8" t="n"/>
      <c r="S300" s="11">
        <f>IF(R300="","",R300+IF(T300=0,3,IF(T300=1,7,IF(T300=2,21,45))))</f>
        <v/>
      </c>
      <c r="T300" s="9" t="n"/>
      <c r="U300" s="6">
        <f>IF(B300="","",LOWER(TRIM(B300)))</f>
        <v/>
      </c>
      <c r="V300" s="6">
        <f>IF(AND(U300&lt;&gt;"",OR(J300="Solved independently",J300="Solved with hints",J300="Solved after viewing solution"),COUNTIFS($U$2:U299,U300,$V$2:V299,1)=0),1,0)</f>
        <v/>
      </c>
      <c r="W300" s="6">
        <f>IF(AND(U300&lt;&gt;"",COUNTIF($U$2:$U$300,U300)&gt;1),"DUPLICATE KEY","")</f>
        <v/>
      </c>
    </row>
  </sheetData>
  <autoFilter ref="A1:W300"/>
  <conditionalFormatting sqref="J2:J300">
    <cfRule type="cellIs" priority="1" operator="equal" dxfId="0">
      <formula>"Solved independently"</formula>
    </cfRule>
    <cfRule type="cellIs" priority="2" operator="equal" dxfId="1">
      <formula>"Solved with hints"</formula>
    </cfRule>
    <cfRule type="cellIs" priority="3" operator="equal" dxfId="2">
      <formula>"Solved after viewing solution"</formula>
    </cfRule>
    <cfRule type="cellIs" priority="4" operator="equal" dxfId="3">
      <formula>"Attempted"</formula>
    </cfRule>
  </conditionalFormatting>
  <conditionalFormatting sqref="S2:S300">
    <cfRule type="expression" priority="5" dxfId="4">
      <formula>AND(S2&lt;&gt;"",S2&lt;=TODAY())</formula>
    </cfRule>
  </conditionalFormatting>
  <conditionalFormatting sqref="W2:W300">
    <cfRule type="cellIs" priority="6" operator="equal" dxfId="5">
      <formula>"DUPLICATE KEY"</formula>
    </cfRule>
  </conditionalFormatting>
  <dataValidations count="5">
    <dataValidation sqref="J2:J300" showDropDown="0" showInputMessage="0" showErrorMessage="0" allowBlank="1" type="list">
      <formula1>"Not started,Attempted,Solved independently,Solved with hints,Solved after viewing solution"</formula1>
    </dataValidation>
    <dataValidation sqref="C2:C300" showDropDown="0" showInputMessage="0" showErrorMessage="0" allowBlank="1" type="list">
      <formula1>"LeetCode,HackerRank,GeeksforGeeks,CodeChef,Other"</formula1>
    </dataValidation>
    <dataValidation sqref="F2:F300" showDropDown="0" showInputMessage="0" showErrorMessage="0" allowBlank="1" type="list">
      <formula1>"Easy,Medium,Hard"</formula1>
    </dataValidation>
    <dataValidation sqref="G2:G300" showDropDown="0" showInputMessage="0" showErrorMessage="0" allowBlank="1" type="list">
      <formula1>"Essential,Recommended,Optional"</formula1>
    </dataValidation>
    <dataValidation sqref="Q2:Q300" showDropDown="0" showInputMessage="0" showErrorMessage="0" allowBlank="1" type="list">
      <formula1>"Y,N"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16" customWidth="1" min="5" max="5"/>
    <col width="14" customWidth="1" min="6" max="6"/>
    <col width="50" customWidth="1" min="7" max="7"/>
  </cols>
  <sheetData>
    <row r="1">
      <c r="A1" s="12" t="inlineStr">
        <is>
          <t>Platform</t>
        </is>
      </c>
      <c r="B1" s="12" t="inlineStr">
        <is>
          <t>Profile URL</t>
        </is>
      </c>
      <c r="C1" s="12" t="inlineStr">
        <is>
          <t>Date checked</t>
        </is>
      </c>
      <c r="D1" s="12" t="inlineStr">
        <is>
          <t>Platform-reported solved count</t>
        </is>
      </c>
      <c r="E1" s="12" t="inlineStr">
        <is>
          <t>My tracker's unique count</t>
        </is>
      </c>
      <c r="F1" s="12" t="inlineStr">
        <is>
          <t>Screenshot/PDF saved? (Y/N)</t>
        </is>
      </c>
      <c r="G1" s="12" t="inlineStr">
        <is>
          <t>Notes (e.g. counts include premium/duplicates?)</t>
        </is>
      </c>
    </row>
    <row r="2">
      <c r="A2" t="inlineStr">
        <is>
          <t>LeetCode</t>
        </is>
      </c>
    </row>
    <row r="3">
      <c r="A3" t="inlineStr">
        <is>
          <t>HackerRank</t>
        </is>
      </c>
    </row>
    <row r="4">
      <c r="A4" t="inlineStr">
        <is>
          <t>GeeksforGeeks</t>
        </is>
      </c>
    </row>
    <row r="5">
      <c r="A5" t="inlineStr">
        <is>
          <t>CodeChef</t>
        </is>
      </c>
    </row>
    <row r="8" ht="32" customHeight="1">
      <c r="A8" s="2" t="inlineStr">
        <is>
          <t>Update monthly. Quote platform counts as 'platform-reported'. Quote your tracker count as your own record. Only put a number on a resume that you have just confirmed on your live profile.</t>
        </is>
      </c>
    </row>
  </sheetData>
  <mergeCells count="1">
    <mergeCell ref="A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0" customWidth="1" min="4" max="4"/>
    <col width="12" customWidth="1" min="5" max="5"/>
    <col width="10" customWidth="1" min="6" max="6"/>
    <col width="14" customWidth="1" min="7" max="7"/>
    <col width="40" customWidth="1" min="8" max="8"/>
    <col width="36" customWidth="1" min="9" max="9"/>
    <col width="40" customWidth="1" min="10" max="10"/>
  </cols>
  <sheetData>
    <row r="1">
      <c r="A1" s="12" t="inlineStr">
        <is>
          <t>Date</t>
        </is>
      </c>
      <c r="B1" s="12" t="inlineStr">
        <is>
          <t>Type (OA / timed set / interview)</t>
        </is>
      </c>
      <c r="C1" s="12" t="inlineStr">
        <is>
          <t>Source</t>
        </is>
      </c>
      <c r="D1" s="12" t="inlineStr">
        <is>
          <t>Problems given</t>
        </is>
      </c>
      <c r="E1" s="12" t="inlineStr">
        <is>
          <t>Fully solved (all tests)</t>
        </is>
      </c>
      <c r="F1" s="12" t="inlineStr">
        <is>
          <t>Partially solved</t>
        </is>
      </c>
      <c r="G1" s="12" t="inlineStr">
        <is>
          <t>Time used / limit (min)</t>
        </is>
      </c>
      <c r="H1" s="12" t="inlineStr">
        <is>
          <t>Where I lost time</t>
        </is>
      </c>
      <c r="I1" s="12" t="inlineStr">
        <is>
          <t>Weak topics exposed</t>
        </is>
      </c>
      <c r="J1" s="12" t="inlineStr">
        <is>
          <t>Action for next week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22" customWidth="1" min="8" max="8"/>
    <col width="22" customWidth="1" min="9" max="9"/>
    <col width="28" customWidth="1" min="10" max="10"/>
    <col width="44" customWidth="1" min="11" max="11"/>
  </cols>
  <sheetData>
    <row r="1">
      <c r="A1" s="12" t="inlineStr">
        <is>
          <t>Week</t>
        </is>
      </c>
      <c r="B1" s="12" t="inlineStr">
        <is>
          <t>Week start</t>
        </is>
      </c>
      <c r="C1" s="12" t="inlineStr">
        <is>
          <t>New problems solved</t>
        </is>
      </c>
      <c r="D1" s="12" t="inlineStr">
        <is>
          <t>Revisions done</t>
        </is>
      </c>
      <c r="E1" s="12" t="inlineStr">
        <is>
          <t>Solved independently (of new)</t>
        </is>
      </c>
      <c r="F1" s="12" t="inlineStr">
        <is>
          <t>Avg minutes per Easy</t>
        </is>
      </c>
      <c r="G1" s="12" t="inlineStr">
        <is>
          <t>Avg minutes per Medium</t>
        </is>
      </c>
      <c r="H1" s="12" t="inlineStr">
        <is>
          <t>Strongest topic</t>
        </is>
      </c>
      <c r="I1" s="12" t="inlineStr">
        <is>
          <t>Weakest topic</t>
        </is>
      </c>
      <c r="J1" s="12" t="inlineStr">
        <is>
          <t>Decision: advance / repeat / add problems</t>
        </is>
      </c>
      <c r="K1" s="12" t="inlineStr">
        <is>
          <t>Change for next week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46" customWidth="1" min="4" max="4"/>
    <col width="12" customWidth="1" min="5" max="5"/>
    <col width="70" customWidth="1" min="6" max="6"/>
    <col width="10" customWidth="1" min="7" max="7"/>
    <col width="38" customWidth="1" min="8" max="8"/>
    <col width="28" customWidth="1" min="9" max="9"/>
    <col width="13" customWidth="1" min="10" max="10"/>
  </cols>
  <sheetData>
    <row r="1">
      <c r="A1" s="3" t="inlineStr">
        <is>
          <t>Order</t>
        </is>
      </c>
      <c r="B1" s="3" t="inlineStr">
        <is>
          <t>Week</t>
        </is>
      </c>
      <c r="C1" s="3" t="inlineStr">
        <is>
          <t>Topic</t>
        </is>
      </c>
      <c r="D1" s="3" t="inlineStr">
        <is>
          <t>Problem</t>
        </is>
      </c>
      <c r="E1" s="3" t="inlineStr">
        <is>
          <t>Platform</t>
        </is>
      </c>
      <c r="F1" s="3" t="inlineStr">
        <is>
          <t>Link</t>
        </is>
      </c>
      <c r="G1" s="3" t="inlineStr">
        <is>
          <t>Difficulty</t>
        </is>
      </c>
      <c r="H1" s="3" t="inlineStr">
        <is>
          <t>Concept tested</t>
        </is>
      </c>
      <c r="I1" s="3" t="inlineStr">
        <is>
          <t>Prerequisites</t>
        </is>
      </c>
      <c r="J1" s="3" t="inlineStr">
        <is>
          <t>Priority</t>
        </is>
      </c>
    </row>
    <row r="2">
      <c r="A2" t="n">
        <v>1</v>
      </c>
      <c r="B2" t="n">
        <v>1</v>
      </c>
      <c r="C2" t="inlineStr">
        <is>
          <t>Programming fundamentals &amp; Big-O</t>
        </is>
      </c>
      <c r="D2" t="inlineStr">
        <is>
          <t>Solve Me First</t>
        </is>
      </c>
      <c r="E2" t="inlineStr">
        <is>
          <t>HackerRank</t>
        </is>
      </c>
      <c r="F2" s="13" t="inlineStr">
        <is>
          <t>https://www.hackerrank.com/challenges/solve-me-first/problem</t>
        </is>
      </c>
      <c r="G2" t="inlineStr">
        <is>
          <t>Easy</t>
        </is>
      </c>
      <c r="H2" t="inlineStr">
        <is>
          <t>I/O and submission workflow</t>
        </is>
      </c>
      <c r="I2" t="inlineStr">
        <is>
          <t>Python basics</t>
        </is>
      </c>
      <c r="J2" t="inlineStr">
        <is>
          <t>Essential</t>
        </is>
      </c>
    </row>
    <row r="3">
      <c r="A3" t="n">
        <v>2</v>
      </c>
      <c r="B3" t="n">
        <v>1</v>
      </c>
      <c r="C3" t="inlineStr">
        <is>
          <t>Programming fundamentals &amp; Big-O</t>
        </is>
      </c>
      <c r="D3" t="inlineStr">
        <is>
          <t>Simple Array Sum</t>
        </is>
      </c>
      <c r="E3" t="inlineStr">
        <is>
          <t>HackerRank</t>
        </is>
      </c>
      <c r="F3" s="13" t="inlineStr">
        <is>
          <t>https://www.hackerrank.com/challenges/simple-array-sum/problem</t>
        </is>
      </c>
      <c r="G3" t="inlineStr">
        <is>
          <t>Easy</t>
        </is>
      </c>
      <c r="H3" t="inlineStr">
        <is>
          <t>Loops, arrays</t>
        </is>
      </c>
      <c r="I3" t="inlineStr">
        <is>
          <t>Python basics</t>
        </is>
      </c>
      <c r="J3" t="inlineStr">
        <is>
          <t>Essential</t>
        </is>
      </c>
    </row>
    <row r="4">
      <c r="A4" t="n">
        <v>3</v>
      </c>
      <c r="B4" t="n">
        <v>1</v>
      </c>
      <c r="C4" t="inlineStr">
        <is>
          <t>Programming fundamentals &amp; Big-O</t>
        </is>
      </c>
      <c r="D4" t="inlineStr">
        <is>
          <t>Compare the Triplets</t>
        </is>
      </c>
      <c r="E4" t="inlineStr">
        <is>
          <t>HackerRank</t>
        </is>
      </c>
      <c r="F4" s="13" t="inlineStr">
        <is>
          <t>https://www.hackerrank.com/challenges/compare-the-triplets/problem</t>
        </is>
      </c>
      <c r="G4" t="inlineStr">
        <is>
          <t>Easy</t>
        </is>
      </c>
      <c r="H4" t="inlineStr">
        <is>
          <t>Conditionals, indexing</t>
        </is>
      </c>
      <c r="I4" t="inlineStr">
        <is>
          <t>Python basics</t>
        </is>
      </c>
      <c r="J4" t="inlineStr">
        <is>
          <t>Recommended</t>
        </is>
      </c>
    </row>
    <row r="5">
      <c r="A5" t="n">
        <v>4</v>
      </c>
      <c r="B5" t="n">
        <v>1</v>
      </c>
      <c r="C5" t="inlineStr">
        <is>
          <t>Programming fundamentals &amp; Big-O</t>
        </is>
      </c>
      <c r="D5" t="inlineStr">
        <is>
          <t>A Very Big Sum</t>
        </is>
      </c>
      <c r="E5" t="inlineStr">
        <is>
          <t>HackerRank</t>
        </is>
      </c>
      <c r="F5" s="13" t="inlineStr">
        <is>
          <t>https://www.hackerrank.com/challenges/a-very-big-sum/problem</t>
        </is>
      </c>
      <c r="G5" t="inlineStr">
        <is>
          <t>Easy</t>
        </is>
      </c>
      <c r="H5" t="inlineStr">
        <is>
          <t>Integers, accumulation</t>
        </is>
      </c>
      <c r="I5" t="inlineStr">
        <is>
          <t>Python basics</t>
        </is>
      </c>
      <c r="J5" t="inlineStr">
        <is>
          <t>Recommended</t>
        </is>
      </c>
    </row>
    <row r="6">
      <c r="A6" t="n">
        <v>5</v>
      </c>
      <c r="B6" t="n">
        <v>1</v>
      </c>
      <c r="C6" t="inlineStr">
        <is>
          <t>Programming fundamentals &amp; Big-O</t>
        </is>
      </c>
      <c r="D6" t="inlineStr">
        <is>
          <t>Diagonal Difference</t>
        </is>
      </c>
      <c r="E6" t="inlineStr">
        <is>
          <t>HackerRank</t>
        </is>
      </c>
      <c r="F6" s="13" t="inlineStr">
        <is>
          <t>https://www.hackerrank.com/challenges/diagonal-difference/problem</t>
        </is>
      </c>
      <c r="G6" t="inlineStr">
        <is>
          <t>Easy</t>
        </is>
      </c>
      <c r="H6" t="inlineStr">
        <is>
          <t>2D arrays</t>
        </is>
      </c>
      <c r="I6" t="inlineStr">
        <is>
          <t>Python basics</t>
        </is>
      </c>
      <c r="J6" t="inlineStr">
        <is>
          <t>Recommended</t>
        </is>
      </c>
    </row>
    <row r="7">
      <c r="A7" t="n">
        <v>6</v>
      </c>
      <c r="B7" t="n">
        <v>1</v>
      </c>
      <c r="C7" t="inlineStr">
        <is>
          <t>Programming fundamentals &amp; Big-O</t>
        </is>
      </c>
      <c r="D7" t="inlineStr">
        <is>
          <t>Plus Minus</t>
        </is>
      </c>
      <c r="E7" t="inlineStr">
        <is>
          <t>HackerRank</t>
        </is>
      </c>
      <c r="F7" s="13" t="inlineStr">
        <is>
          <t>https://www.hackerrank.com/challenges/plus-minus/problem</t>
        </is>
      </c>
      <c r="G7" t="inlineStr">
        <is>
          <t>Easy</t>
        </is>
      </c>
      <c r="H7" t="inlineStr">
        <is>
          <t>Counting, formatting</t>
        </is>
      </c>
      <c r="I7" t="inlineStr">
        <is>
          <t>Python basics</t>
        </is>
      </c>
      <c r="J7" t="inlineStr">
        <is>
          <t>Recommended</t>
        </is>
      </c>
    </row>
    <row r="8">
      <c r="A8" t="n">
        <v>7</v>
      </c>
      <c r="B8" t="n">
        <v>1</v>
      </c>
      <c r="C8" t="inlineStr">
        <is>
          <t>Programming fundamentals &amp; Big-O</t>
        </is>
      </c>
      <c r="D8" t="inlineStr">
        <is>
          <t>Staircase</t>
        </is>
      </c>
      <c r="E8" t="inlineStr">
        <is>
          <t>HackerRank</t>
        </is>
      </c>
      <c r="F8" s="13" t="inlineStr">
        <is>
          <t>https://www.hackerrank.com/challenges/staircase/problem</t>
        </is>
      </c>
      <c r="G8" t="inlineStr">
        <is>
          <t>Easy</t>
        </is>
      </c>
      <c r="H8" t="inlineStr">
        <is>
          <t>Nested loops, strings</t>
        </is>
      </c>
      <c r="I8" t="inlineStr">
        <is>
          <t>Python basics</t>
        </is>
      </c>
      <c r="J8" t="inlineStr">
        <is>
          <t>Recommended</t>
        </is>
      </c>
    </row>
    <row r="9">
      <c r="A9" t="n">
        <v>8</v>
      </c>
      <c r="B9" t="n">
        <v>1</v>
      </c>
      <c r="C9" t="inlineStr">
        <is>
          <t>Programming fundamentals &amp; Big-O</t>
        </is>
      </c>
      <c r="D9" t="inlineStr">
        <is>
          <t>Mini-Max Sum</t>
        </is>
      </c>
      <c r="E9" t="inlineStr">
        <is>
          <t>HackerRank</t>
        </is>
      </c>
      <c r="F9" s="13" t="inlineStr">
        <is>
          <t>https://www.hackerrank.com/challenges/mini-max-sum/problem</t>
        </is>
      </c>
      <c r="G9" t="inlineStr">
        <is>
          <t>Easy</t>
        </is>
      </c>
      <c r="H9" t="inlineStr">
        <is>
          <t>Sum/min/max</t>
        </is>
      </c>
      <c r="I9" t="inlineStr">
        <is>
          <t>Python basics</t>
        </is>
      </c>
      <c r="J9" t="inlineStr">
        <is>
          <t>Recommended</t>
        </is>
      </c>
    </row>
    <row r="10">
      <c r="A10" t="n">
        <v>9</v>
      </c>
      <c r="B10" t="n">
        <v>1</v>
      </c>
      <c r="C10" t="inlineStr">
        <is>
          <t>Programming fundamentals &amp; Big-O</t>
        </is>
      </c>
      <c r="D10" t="inlineStr">
        <is>
          <t>Birthday Cake Candles</t>
        </is>
      </c>
      <c r="E10" t="inlineStr">
        <is>
          <t>HackerRank</t>
        </is>
      </c>
      <c r="F10" s="13" t="inlineStr">
        <is>
          <t>https://www.hackerrank.com/challenges/birthday-cake-candles/problem</t>
        </is>
      </c>
      <c r="G10" t="inlineStr">
        <is>
          <t>Easy</t>
        </is>
      </c>
      <c r="H10" t="inlineStr">
        <is>
          <t>Max and counting</t>
        </is>
      </c>
      <c r="I10" t="inlineStr">
        <is>
          <t>Python basics</t>
        </is>
      </c>
      <c r="J10" t="inlineStr">
        <is>
          <t>Optional</t>
        </is>
      </c>
    </row>
    <row r="11">
      <c r="A11" t="n">
        <v>10</v>
      </c>
      <c r="B11" t="n">
        <v>1</v>
      </c>
      <c r="C11" t="inlineStr">
        <is>
          <t>Programming fundamentals &amp; Big-O</t>
        </is>
      </c>
      <c r="D11" t="inlineStr">
        <is>
          <t>Time Conversion</t>
        </is>
      </c>
      <c r="E11" t="inlineStr">
        <is>
          <t>HackerRank</t>
        </is>
      </c>
      <c r="F11" s="13" t="inlineStr">
        <is>
          <t>https://www.hackerrank.com/challenges/time-conversion/problem</t>
        </is>
      </c>
      <c r="G11" t="inlineStr">
        <is>
          <t>Easy</t>
        </is>
      </c>
      <c r="H11" t="inlineStr">
        <is>
          <t>String parsing</t>
        </is>
      </c>
      <c r="I11" t="inlineStr">
        <is>
          <t>Python basics</t>
        </is>
      </c>
      <c r="J11" t="inlineStr">
        <is>
          <t>Optional</t>
        </is>
      </c>
    </row>
    <row r="12">
      <c r="A12" t="n">
        <v>11</v>
      </c>
      <c r="B12" t="n">
        <v>1</v>
      </c>
      <c r="C12" t="inlineStr">
        <is>
          <t>Programming fundamentals &amp; Big-O</t>
        </is>
      </c>
      <c r="D12" t="inlineStr">
        <is>
          <t>FizzBuzz</t>
        </is>
      </c>
      <c r="E12" t="inlineStr">
        <is>
          <t>LeetCode</t>
        </is>
      </c>
      <c r="F12" s="13" t="inlineStr">
        <is>
          <t>https://leetcode.com/problems/fizz-buzz/</t>
        </is>
      </c>
      <c r="G12" t="inlineStr">
        <is>
          <t>Easy</t>
        </is>
      </c>
      <c r="H12" t="inlineStr">
        <is>
          <t>Loops, modulo</t>
        </is>
      </c>
      <c r="I12" t="inlineStr">
        <is>
          <t>Python basics</t>
        </is>
      </c>
      <c r="J12" t="inlineStr">
        <is>
          <t>Essential</t>
        </is>
      </c>
    </row>
    <row r="13">
      <c r="A13" t="n">
        <v>12</v>
      </c>
      <c r="B13" t="n">
        <v>1</v>
      </c>
      <c r="C13" t="inlineStr">
        <is>
          <t>Programming fundamentals &amp; Big-O</t>
        </is>
      </c>
      <c r="D13" t="inlineStr">
        <is>
          <t>Running Sum of 1d Array</t>
        </is>
      </c>
      <c r="E13" t="inlineStr">
        <is>
          <t>LeetCode</t>
        </is>
      </c>
      <c r="F13" s="13" t="inlineStr">
        <is>
          <t>https://leetcode.com/problems/running-sum-of-1d-array/</t>
        </is>
      </c>
      <c r="G13" t="inlineStr">
        <is>
          <t>Easy</t>
        </is>
      </c>
      <c r="H13" t="inlineStr">
        <is>
          <t>Prefix idea</t>
        </is>
      </c>
      <c r="I13" t="inlineStr">
        <is>
          <t>Python basics</t>
        </is>
      </c>
      <c r="J13" t="inlineStr">
        <is>
          <t>Essential</t>
        </is>
      </c>
    </row>
    <row r="14">
      <c r="A14" t="n">
        <v>13</v>
      </c>
      <c r="B14" t="n">
        <v>1</v>
      </c>
      <c r="C14" t="inlineStr">
        <is>
          <t>Arrays &amp; strings</t>
        </is>
      </c>
      <c r="D14" t="inlineStr">
        <is>
          <t>Contains Duplicate</t>
        </is>
      </c>
      <c r="E14" t="inlineStr">
        <is>
          <t>LeetCode</t>
        </is>
      </c>
      <c r="F14" s="13" t="inlineStr">
        <is>
          <t>https://leetcode.com/problems/contains-duplicate/</t>
        </is>
      </c>
      <c r="G14" t="inlineStr">
        <is>
          <t>Easy</t>
        </is>
      </c>
      <c r="H14" t="inlineStr">
        <is>
          <t>Set membership</t>
        </is>
      </c>
      <c r="I14" t="inlineStr">
        <is>
          <t>Loops, indexing</t>
        </is>
      </c>
      <c r="J14" t="inlineStr">
        <is>
          <t>Essential</t>
        </is>
      </c>
    </row>
    <row r="15">
      <c r="A15" t="n">
        <v>14</v>
      </c>
      <c r="B15" t="n">
        <v>1</v>
      </c>
      <c r="C15" t="inlineStr">
        <is>
          <t>Arrays &amp; strings</t>
        </is>
      </c>
      <c r="D15" t="inlineStr">
        <is>
          <t>Best Time to Buy and Sell Stock</t>
        </is>
      </c>
      <c r="E15" t="inlineStr">
        <is>
          <t>LeetCode</t>
        </is>
      </c>
      <c r="F15" s="13" t="inlineStr">
        <is>
          <t>https://leetcode.com/problems/best-time-to-buy-and-sell-stock/</t>
        </is>
      </c>
      <c r="G15" t="inlineStr">
        <is>
          <t>Easy</t>
        </is>
      </c>
      <c r="H15" t="inlineStr">
        <is>
          <t>One-pass min tracking</t>
        </is>
      </c>
      <c r="I15" t="inlineStr">
        <is>
          <t>Loops, indexing</t>
        </is>
      </c>
      <c r="J15" t="inlineStr">
        <is>
          <t>Essential</t>
        </is>
      </c>
    </row>
    <row r="16">
      <c r="A16" t="n">
        <v>15</v>
      </c>
      <c r="B16" t="n">
        <v>1</v>
      </c>
      <c r="C16" t="inlineStr">
        <is>
          <t>Arrays &amp; strings</t>
        </is>
      </c>
      <c r="D16" t="inlineStr">
        <is>
          <t>Maximum Subarray</t>
        </is>
      </c>
      <c r="E16" t="inlineStr">
        <is>
          <t>LeetCode</t>
        </is>
      </c>
      <c r="F16" s="13" t="inlineStr">
        <is>
          <t>https://leetcode.com/problems/maximum-subarray/</t>
        </is>
      </c>
      <c r="G16" t="inlineStr">
        <is>
          <t>Medium</t>
        </is>
      </c>
      <c r="H16" t="inlineStr">
        <is>
          <t>Kadane's algorithm</t>
        </is>
      </c>
      <c r="I16" t="inlineStr">
        <is>
          <t>Loops, indexing</t>
        </is>
      </c>
      <c r="J16" t="inlineStr">
        <is>
          <t>Essential</t>
        </is>
      </c>
    </row>
    <row r="17">
      <c r="A17" t="n">
        <v>16</v>
      </c>
      <c r="B17" t="n">
        <v>1</v>
      </c>
      <c r="C17" t="inlineStr">
        <is>
          <t>Arrays &amp; strings</t>
        </is>
      </c>
      <c r="D17" t="inlineStr">
        <is>
          <t>Move Zeroes</t>
        </is>
      </c>
      <c r="E17" t="inlineStr">
        <is>
          <t>LeetCode</t>
        </is>
      </c>
      <c r="F17" s="13" t="inlineStr">
        <is>
          <t>https://leetcode.com/problems/move-zeroes/</t>
        </is>
      </c>
      <c r="G17" t="inlineStr">
        <is>
          <t>Easy</t>
        </is>
      </c>
      <c r="H17" t="inlineStr">
        <is>
          <t>In-place array writes</t>
        </is>
      </c>
      <c r="I17" t="inlineStr">
        <is>
          <t>Loops, indexing</t>
        </is>
      </c>
      <c r="J17" t="inlineStr">
        <is>
          <t>Essential</t>
        </is>
      </c>
    </row>
    <row r="18">
      <c r="A18" t="n">
        <v>17</v>
      </c>
      <c r="B18" t="n">
        <v>1</v>
      </c>
      <c r="C18" t="inlineStr">
        <is>
          <t>Arrays &amp; strings</t>
        </is>
      </c>
      <c r="D18" t="inlineStr">
        <is>
          <t>Remove Duplicates from Sorted Array</t>
        </is>
      </c>
      <c r="E18" t="inlineStr">
        <is>
          <t>LeetCode</t>
        </is>
      </c>
      <c r="F18" s="13" t="inlineStr">
        <is>
          <t>https://leetcode.com/problems/remove-duplicates-from-sorted-array/</t>
        </is>
      </c>
      <c r="G18" t="inlineStr">
        <is>
          <t>Easy</t>
        </is>
      </c>
      <c r="H18" t="inlineStr">
        <is>
          <t>In-place read/write pointers</t>
        </is>
      </c>
      <c r="I18" t="inlineStr">
        <is>
          <t>Loops, indexing</t>
        </is>
      </c>
      <c r="J18" t="inlineStr">
        <is>
          <t>Recommended</t>
        </is>
      </c>
    </row>
    <row r="19">
      <c r="A19" t="n">
        <v>18</v>
      </c>
      <c r="B19" t="n">
        <v>1</v>
      </c>
      <c r="C19" t="inlineStr">
        <is>
          <t>Arrays &amp; strings</t>
        </is>
      </c>
      <c r="D19" t="inlineStr">
        <is>
          <t>Merge Sorted Array</t>
        </is>
      </c>
      <c r="E19" t="inlineStr">
        <is>
          <t>LeetCode</t>
        </is>
      </c>
      <c r="F19" s="13" t="inlineStr">
        <is>
          <t>https://leetcode.com/problems/merge-sorted-array/</t>
        </is>
      </c>
      <c r="G19" t="inlineStr">
        <is>
          <t>Easy</t>
        </is>
      </c>
      <c r="H19" t="inlineStr">
        <is>
          <t>Merge from the back</t>
        </is>
      </c>
      <c r="I19" t="inlineStr">
        <is>
          <t>Loops, indexing</t>
        </is>
      </c>
      <c r="J19" t="inlineStr">
        <is>
          <t>Recommended</t>
        </is>
      </c>
    </row>
    <row r="20">
      <c r="A20" t="n">
        <v>19</v>
      </c>
      <c r="B20" t="n">
        <v>1</v>
      </c>
      <c r="C20" t="inlineStr">
        <is>
          <t>Arrays &amp; strings</t>
        </is>
      </c>
      <c r="D20" t="inlineStr">
        <is>
          <t>Plus One</t>
        </is>
      </c>
      <c r="E20" t="inlineStr">
        <is>
          <t>LeetCode</t>
        </is>
      </c>
      <c r="F20" s="13" t="inlineStr">
        <is>
          <t>https://leetcode.com/problems/plus-one/</t>
        </is>
      </c>
      <c r="G20" t="inlineStr">
        <is>
          <t>Easy</t>
        </is>
      </c>
      <c r="H20" t="inlineStr">
        <is>
          <t>Carry handling</t>
        </is>
      </c>
      <c r="I20" t="inlineStr">
        <is>
          <t>Loops, indexing</t>
        </is>
      </c>
      <c r="J20" t="inlineStr">
        <is>
          <t>Recommended</t>
        </is>
      </c>
    </row>
    <row r="21">
      <c r="A21" t="n">
        <v>20</v>
      </c>
      <c r="B21" t="n">
        <v>1</v>
      </c>
      <c r="C21" t="inlineStr">
        <is>
          <t>Arrays &amp; strings</t>
        </is>
      </c>
      <c r="D21" t="inlineStr">
        <is>
          <t>Rotate Array</t>
        </is>
      </c>
      <c r="E21" t="inlineStr">
        <is>
          <t>LeetCode</t>
        </is>
      </c>
      <c r="F21" s="13" t="inlineStr">
        <is>
          <t>https://leetcode.com/problems/rotate-array/</t>
        </is>
      </c>
      <c r="G21" t="inlineStr">
        <is>
          <t>Medium</t>
        </is>
      </c>
      <c r="H21" t="inlineStr">
        <is>
          <t>Reversal trick</t>
        </is>
      </c>
      <c r="I21" t="inlineStr">
        <is>
          <t>Loops, indexing</t>
        </is>
      </c>
      <c r="J21" t="inlineStr">
        <is>
          <t>Recommended</t>
        </is>
      </c>
    </row>
    <row r="22">
      <c r="A22" t="n">
        <v>21</v>
      </c>
      <c r="B22" t="n">
        <v>1</v>
      </c>
      <c r="C22" t="inlineStr">
        <is>
          <t>Arrays &amp; strings</t>
        </is>
      </c>
      <c r="D22" t="inlineStr">
        <is>
          <t>Majority Element</t>
        </is>
      </c>
      <c r="E22" t="inlineStr">
        <is>
          <t>LeetCode</t>
        </is>
      </c>
      <c r="F22" s="13" t="inlineStr">
        <is>
          <t>https://leetcode.com/problems/majority-element/</t>
        </is>
      </c>
      <c r="G22" t="inlineStr">
        <is>
          <t>Easy</t>
        </is>
      </c>
      <c r="H22" t="inlineStr">
        <is>
          <t>Boyer-Moore voting</t>
        </is>
      </c>
      <c r="I22" t="inlineStr">
        <is>
          <t>Loops, indexing</t>
        </is>
      </c>
      <c r="J22" t="inlineStr">
        <is>
          <t>Recommended</t>
        </is>
      </c>
    </row>
    <row r="23">
      <c r="A23" t="n">
        <v>22</v>
      </c>
      <c r="B23" t="n">
        <v>1</v>
      </c>
      <c r="C23" t="inlineStr">
        <is>
          <t>Arrays &amp; strings</t>
        </is>
      </c>
      <c r="D23" t="inlineStr">
        <is>
          <t>Reverse String</t>
        </is>
      </c>
      <c r="E23" t="inlineStr">
        <is>
          <t>LeetCode</t>
        </is>
      </c>
      <c r="F23" s="13" t="inlineStr">
        <is>
          <t>https://leetcode.com/problems/reverse-string/</t>
        </is>
      </c>
      <c r="G23" t="inlineStr">
        <is>
          <t>Easy</t>
        </is>
      </c>
      <c r="H23" t="inlineStr">
        <is>
          <t>In-place reversal</t>
        </is>
      </c>
      <c r="I23" t="inlineStr">
        <is>
          <t>Loops, indexing</t>
        </is>
      </c>
      <c r="J23" t="inlineStr">
        <is>
          <t>Essential</t>
        </is>
      </c>
    </row>
    <row r="24">
      <c r="A24" t="n">
        <v>23</v>
      </c>
      <c r="B24" t="n">
        <v>1</v>
      </c>
      <c r="C24" t="inlineStr">
        <is>
          <t>Arrays &amp; strings</t>
        </is>
      </c>
      <c r="D24" t="inlineStr">
        <is>
          <t>Valid Palindrome</t>
        </is>
      </c>
      <c r="E24" t="inlineStr">
        <is>
          <t>LeetCode</t>
        </is>
      </c>
      <c r="F24" s="13" t="inlineStr">
        <is>
          <t>https://leetcode.com/problems/valid-palindrome/</t>
        </is>
      </c>
      <c r="G24" t="inlineStr">
        <is>
          <t>Easy</t>
        </is>
      </c>
      <c r="H24" t="inlineStr">
        <is>
          <t>Two-ended scan, cleaning input</t>
        </is>
      </c>
      <c r="I24" t="inlineStr">
        <is>
          <t>Loops, indexing</t>
        </is>
      </c>
      <c r="J24" t="inlineStr">
        <is>
          <t>Essential</t>
        </is>
      </c>
    </row>
    <row r="25">
      <c r="A25" t="n">
        <v>24</v>
      </c>
      <c r="B25" t="n">
        <v>1</v>
      </c>
      <c r="C25" t="inlineStr">
        <is>
          <t>Arrays &amp; strings</t>
        </is>
      </c>
      <c r="D25" t="inlineStr">
        <is>
          <t>Longest Common Prefix</t>
        </is>
      </c>
      <c r="E25" t="inlineStr">
        <is>
          <t>LeetCode</t>
        </is>
      </c>
      <c r="F25" s="13" t="inlineStr">
        <is>
          <t>https://leetcode.com/problems/longest-common-prefix/</t>
        </is>
      </c>
      <c r="G25" t="inlineStr">
        <is>
          <t>Easy</t>
        </is>
      </c>
      <c r="H25" t="inlineStr">
        <is>
          <t>String comparison</t>
        </is>
      </c>
      <c r="I25" t="inlineStr">
        <is>
          <t>Loops, indexing</t>
        </is>
      </c>
      <c r="J25" t="inlineStr">
        <is>
          <t>Recommended</t>
        </is>
      </c>
    </row>
    <row r="26">
      <c r="A26" t="n">
        <v>25</v>
      </c>
      <c r="B26" t="n">
        <v>1</v>
      </c>
      <c r="C26" t="inlineStr">
        <is>
          <t>Arrays &amp; strings</t>
        </is>
      </c>
      <c r="D26" t="inlineStr">
        <is>
          <t>Roman to Integer</t>
        </is>
      </c>
      <c r="E26" t="inlineStr">
        <is>
          <t>LeetCode</t>
        </is>
      </c>
      <c r="F26" s="13" t="inlineStr">
        <is>
          <t>https://leetcode.com/problems/roman-to-integer/</t>
        </is>
      </c>
      <c r="G26" t="inlineStr">
        <is>
          <t>Easy</t>
        </is>
      </c>
      <c r="H26" t="inlineStr">
        <is>
          <t>Mapping, lookahead</t>
        </is>
      </c>
      <c r="I26" t="inlineStr">
        <is>
          <t>Loops, indexing</t>
        </is>
      </c>
      <c r="J26" t="inlineStr">
        <is>
          <t>Optional</t>
        </is>
      </c>
    </row>
    <row r="27">
      <c r="A27" t="n">
        <v>26</v>
      </c>
      <c r="B27" t="n">
        <v>1</v>
      </c>
      <c r="C27" t="inlineStr">
        <is>
          <t>Arrays &amp; strings</t>
        </is>
      </c>
      <c r="D27" t="inlineStr">
        <is>
          <t>Product of Array Except Self</t>
        </is>
      </c>
      <c r="E27" t="inlineStr">
        <is>
          <t>LeetCode</t>
        </is>
      </c>
      <c r="F27" s="13" t="inlineStr">
        <is>
          <t>https://leetcode.com/problems/product-of-array-except-self/</t>
        </is>
      </c>
      <c r="G27" t="inlineStr">
        <is>
          <t>Medium</t>
        </is>
      </c>
      <c r="H27" t="inlineStr">
        <is>
          <t>Prefix/suffix products</t>
        </is>
      </c>
      <c r="I27" t="inlineStr">
        <is>
          <t>Loops, indexing</t>
        </is>
      </c>
      <c r="J27" t="inlineStr">
        <is>
          <t>Essential</t>
        </is>
      </c>
    </row>
    <row r="28">
      <c r="A28" t="n">
        <v>27</v>
      </c>
      <c r="B28" t="n">
        <v>2</v>
      </c>
      <c r="C28" t="inlineStr">
        <is>
          <t>Hashing &amp; frequency counting</t>
        </is>
      </c>
      <c r="D28" t="inlineStr">
        <is>
          <t>Two Sum</t>
        </is>
      </c>
      <c r="E28" t="inlineStr">
        <is>
          <t>LeetCode</t>
        </is>
      </c>
      <c r="F28" s="13" t="inlineStr">
        <is>
          <t>https://leetcode.com/problems/two-sum/</t>
        </is>
      </c>
      <c r="G28" t="inlineStr">
        <is>
          <t>Easy</t>
        </is>
      </c>
      <c r="H28" t="inlineStr">
        <is>
          <t>Hash map complement lookup</t>
        </is>
      </c>
      <c r="I28" t="inlineStr">
        <is>
          <t>Arrays, strings</t>
        </is>
      </c>
      <c r="J28" t="inlineStr">
        <is>
          <t>Essential</t>
        </is>
      </c>
    </row>
    <row r="29">
      <c r="A29" t="n">
        <v>28</v>
      </c>
      <c r="B29" t="n">
        <v>2</v>
      </c>
      <c r="C29" t="inlineStr">
        <is>
          <t>Hashing &amp; frequency counting</t>
        </is>
      </c>
      <c r="D29" t="inlineStr">
        <is>
          <t>Valid Anagram</t>
        </is>
      </c>
      <c r="E29" t="inlineStr">
        <is>
          <t>LeetCode</t>
        </is>
      </c>
      <c r="F29" s="13" t="inlineStr">
        <is>
          <t>https://leetcode.com/problems/valid-anagram/</t>
        </is>
      </c>
      <c r="G29" t="inlineStr">
        <is>
          <t>Easy</t>
        </is>
      </c>
      <c r="H29" t="inlineStr">
        <is>
          <t>Frequency counting</t>
        </is>
      </c>
      <c r="I29" t="inlineStr">
        <is>
          <t>Arrays, strings</t>
        </is>
      </c>
      <c r="J29" t="inlineStr">
        <is>
          <t>Essential</t>
        </is>
      </c>
    </row>
    <row r="30">
      <c r="A30" t="n">
        <v>29</v>
      </c>
      <c r="B30" t="n">
        <v>2</v>
      </c>
      <c r="C30" t="inlineStr">
        <is>
          <t>Hashing &amp; frequency counting</t>
        </is>
      </c>
      <c r="D30" t="inlineStr">
        <is>
          <t>Ransom Note</t>
        </is>
      </c>
      <c r="E30" t="inlineStr">
        <is>
          <t>LeetCode</t>
        </is>
      </c>
      <c r="F30" s="13" t="inlineStr">
        <is>
          <t>https://leetcode.com/problems/ransom-note/</t>
        </is>
      </c>
      <c r="G30" t="inlineStr">
        <is>
          <t>Easy</t>
        </is>
      </c>
      <c r="H30" t="inlineStr">
        <is>
          <t>Frequency counting</t>
        </is>
      </c>
      <c r="I30" t="inlineStr">
        <is>
          <t>Arrays, strings</t>
        </is>
      </c>
      <c r="J30" t="inlineStr">
        <is>
          <t>Recommended</t>
        </is>
      </c>
    </row>
    <row r="31">
      <c r="A31" t="n">
        <v>30</v>
      </c>
      <c r="B31" t="n">
        <v>2</v>
      </c>
      <c r="C31" t="inlineStr">
        <is>
          <t>Hashing &amp; frequency counting</t>
        </is>
      </c>
      <c r="D31" t="inlineStr">
        <is>
          <t>First Unique Character in a String</t>
        </is>
      </c>
      <c r="E31" t="inlineStr">
        <is>
          <t>LeetCode</t>
        </is>
      </c>
      <c r="F31" s="13" t="inlineStr">
        <is>
          <t>https://leetcode.com/problems/first-unique-character-in-a-string/</t>
        </is>
      </c>
      <c r="G31" t="inlineStr">
        <is>
          <t>Easy</t>
        </is>
      </c>
      <c r="H31" t="inlineStr">
        <is>
          <t>Two-pass counting</t>
        </is>
      </c>
      <c r="I31" t="inlineStr">
        <is>
          <t>Arrays, strings</t>
        </is>
      </c>
      <c r="J31" t="inlineStr">
        <is>
          <t>Recommended</t>
        </is>
      </c>
    </row>
    <row r="32">
      <c r="A32" t="n">
        <v>31</v>
      </c>
      <c r="B32" t="n">
        <v>2</v>
      </c>
      <c r="C32" t="inlineStr">
        <is>
          <t>Hashing &amp; frequency counting</t>
        </is>
      </c>
      <c r="D32" t="inlineStr">
        <is>
          <t>Isomorphic Strings</t>
        </is>
      </c>
      <c r="E32" t="inlineStr">
        <is>
          <t>LeetCode</t>
        </is>
      </c>
      <c r="F32" s="13" t="inlineStr">
        <is>
          <t>https://leetcode.com/problems/isomorphic-strings/</t>
        </is>
      </c>
      <c r="G32" t="inlineStr">
        <is>
          <t>Easy</t>
        </is>
      </c>
      <c r="H32" t="inlineStr">
        <is>
          <t>Bijective mapping</t>
        </is>
      </c>
      <c r="I32" t="inlineStr">
        <is>
          <t>Arrays, strings</t>
        </is>
      </c>
      <c r="J32" t="inlineStr">
        <is>
          <t>Recommended</t>
        </is>
      </c>
    </row>
    <row r="33">
      <c r="A33" t="n">
        <v>32</v>
      </c>
      <c r="B33" t="n">
        <v>2</v>
      </c>
      <c r="C33" t="inlineStr">
        <is>
          <t>Hashing &amp; frequency counting</t>
        </is>
      </c>
      <c r="D33" t="inlineStr">
        <is>
          <t>Single Number</t>
        </is>
      </c>
      <c r="E33" t="inlineStr">
        <is>
          <t>LeetCode</t>
        </is>
      </c>
      <c r="F33" s="13" t="inlineStr">
        <is>
          <t>https://leetcode.com/problems/single-number/</t>
        </is>
      </c>
      <c r="G33" t="inlineStr">
        <is>
          <t>Easy</t>
        </is>
      </c>
      <c r="H33" t="inlineStr">
        <is>
          <t>Hash set / XOR</t>
        </is>
      </c>
      <c r="I33" t="inlineStr">
        <is>
          <t>Arrays, strings</t>
        </is>
      </c>
      <c r="J33" t="inlineStr">
        <is>
          <t>Essential</t>
        </is>
      </c>
    </row>
    <row r="34">
      <c r="A34" t="n">
        <v>33</v>
      </c>
      <c r="B34" t="n">
        <v>2</v>
      </c>
      <c r="C34" t="inlineStr">
        <is>
          <t>Hashing &amp; frequency counting</t>
        </is>
      </c>
      <c r="D34" t="inlineStr">
        <is>
          <t>Missing Number</t>
        </is>
      </c>
      <c r="E34" t="inlineStr">
        <is>
          <t>LeetCode</t>
        </is>
      </c>
      <c r="F34" s="13" t="inlineStr">
        <is>
          <t>https://leetcode.com/problems/missing-number/</t>
        </is>
      </c>
      <c r="G34" t="inlineStr">
        <is>
          <t>Easy</t>
        </is>
      </c>
      <c r="H34" t="inlineStr">
        <is>
          <t>Sum / XOR / set</t>
        </is>
      </c>
      <c r="I34" t="inlineStr">
        <is>
          <t>Arrays, strings</t>
        </is>
      </c>
      <c r="J34" t="inlineStr">
        <is>
          <t>Recommended</t>
        </is>
      </c>
    </row>
    <row r="35">
      <c r="A35" t="n">
        <v>34</v>
      </c>
      <c r="B35" t="n">
        <v>2</v>
      </c>
      <c r="C35" t="inlineStr">
        <is>
          <t>Hashing &amp; frequency counting</t>
        </is>
      </c>
      <c r="D35" t="inlineStr">
        <is>
          <t>Group Anagrams</t>
        </is>
      </c>
      <c r="E35" t="inlineStr">
        <is>
          <t>LeetCode</t>
        </is>
      </c>
      <c r="F35" s="13" t="inlineStr">
        <is>
          <t>https://leetcode.com/problems/group-anagrams/</t>
        </is>
      </c>
      <c r="G35" t="inlineStr">
        <is>
          <t>Medium</t>
        </is>
      </c>
      <c r="H35" t="inlineStr">
        <is>
          <t>Canonical key hashing</t>
        </is>
      </c>
      <c r="I35" t="inlineStr">
        <is>
          <t>Arrays, strings</t>
        </is>
      </c>
      <c r="J35" t="inlineStr">
        <is>
          <t>Essential</t>
        </is>
      </c>
    </row>
    <row r="36">
      <c r="A36" t="n">
        <v>35</v>
      </c>
      <c r="B36" t="n">
        <v>2</v>
      </c>
      <c r="C36" t="inlineStr">
        <is>
          <t>Hashing &amp; frequency counting</t>
        </is>
      </c>
      <c r="D36" t="inlineStr">
        <is>
          <t>Top K Frequent Elements</t>
        </is>
      </c>
      <c r="E36" t="inlineStr">
        <is>
          <t>LeetCode</t>
        </is>
      </c>
      <c r="F36" s="13" t="inlineStr">
        <is>
          <t>https://leetcode.com/problems/top-k-frequent-elements/</t>
        </is>
      </c>
      <c r="G36" t="inlineStr">
        <is>
          <t>Medium</t>
        </is>
      </c>
      <c r="H36" t="inlineStr">
        <is>
          <t>Counter + bucket/heap</t>
        </is>
      </c>
      <c r="I36" t="inlineStr">
        <is>
          <t>Arrays, strings</t>
        </is>
      </c>
      <c r="J36" t="inlineStr">
        <is>
          <t>Essential</t>
        </is>
      </c>
    </row>
    <row r="37">
      <c r="A37" t="n">
        <v>36</v>
      </c>
      <c r="B37" t="n">
        <v>2</v>
      </c>
      <c r="C37" t="inlineStr">
        <is>
          <t>Hashing &amp; frequency counting</t>
        </is>
      </c>
      <c r="D37" t="inlineStr">
        <is>
          <t>Longest Consecutive Sequence</t>
        </is>
      </c>
      <c r="E37" t="inlineStr">
        <is>
          <t>LeetCode</t>
        </is>
      </c>
      <c r="F37" s="13" t="inlineStr">
        <is>
          <t>https://leetcode.com/problems/longest-consecutive-sequence/</t>
        </is>
      </c>
      <c r="G37" t="inlineStr">
        <is>
          <t>Medium</t>
        </is>
      </c>
      <c r="H37" t="inlineStr">
        <is>
          <t>Set-based O(n)</t>
        </is>
      </c>
      <c r="I37" t="inlineStr">
        <is>
          <t>Arrays, strings</t>
        </is>
      </c>
      <c r="J37" t="inlineStr">
        <is>
          <t>Essential</t>
        </is>
      </c>
    </row>
    <row r="38">
      <c r="A38" t="n">
        <v>37</v>
      </c>
      <c r="B38" t="n">
        <v>2</v>
      </c>
      <c r="C38" t="inlineStr">
        <is>
          <t>Hashing &amp; frequency counting</t>
        </is>
      </c>
      <c r="D38" t="inlineStr">
        <is>
          <t>Subarray Sum Equals K</t>
        </is>
      </c>
      <c r="E38" t="inlineStr">
        <is>
          <t>LeetCode</t>
        </is>
      </c>
      <c r="F38" s="13" t="inlineStr">
        <is>
          <t>https://leetcode.com/problems/subarray-sum-equals-k/</t>
        </is>
      </c>
      <c r="G38" t="inlineStr">
        <is>
          <t>Medium</t>
        </is>
      </c>
      <c r="H38" t="inlineStr">
        <is>
          <t>Prefix sum + hash map</t>
        </is>
      </c>
      <c r="I38" t="inlineStr">
        <is>
          <t>Arrays, strings</t>
        </is>
      </c>
      <c r="J38" t="inlineStr">
        <is>
          <t>Essential</t>
        </is>
      </c>
    </row>
    <row r="39">
      <c r="A39" t="n">
        <v>38</v>
      </c>
      <c r="B39" t="n">
        <v>2</v>
      </c>
      <c r="C39" t="inlineStr">
        <is>
          <t>Hashing &amp; frequency counting</t>
        </is>
      </c>
      <c r="D39" t="inlineStr">
        <is>
          <t>Contains Duplicate II</t>
        </is>
      </c>
      <c r="E39" t="inlineStr">
        <is>
          <t>LeetCode</t>
        </is>
      </c>
      <c r="F39" s="13" t="inlineStr">
        <is>
          <t>https://leetcode.com/problems/contains-duplicate-ii/</t>
        </is>
      </c>
      <c r="G39" t="inlineStr">
        <is>
          <t>Easy</t>
        </is>
      </c>
      <c r="H39" t="inlineStr">
        <is>
          <t>Index map</t>
        </is>
      </c>
      <c r="I39" t="inlineStr">
        <is>
          <t>Arrays, strings</t>
        </is>
      </c>
      <c r="J39" t="inlineStr">
        <is>
          <t>Optional</t>
        </is>
      </c>
    </row>
    <row r="40">
      <c r="A40" t="n">
        <v>39</v>
      </c>
      <c r="B40" t="n">
        <v>2</v>
      </c>
      <c r="C40" t="inlineStr">
        <is>
          <t>Hashing &amp; frequency counting</t>
        </is>
      </c>
      <c r="D40" t="inlineStr">
        <is>
          <t>Happy Number</t>
        </is>
      </c>
      <c r="E40" t="inlineStr">
        <is>
          <t>LeetCode</t>
        </is>
      </c>
      <c r="F40" s="13" t="inlineStr">
        <is>
          <t>https://leetcode.com/problems/happy-number/</t>
        </is>
      </c>
      <c r="G40" t="inlineStr">
        <is>
          <t>Easy</t>
        </is>
      </c>
      <c r="H40" t="inlineStr">
        <is>
          <t>Cycle detection with set</t>
        </is>
      </c>
      <c r="I40" t="inlineStr">
        <is>
          <t>Arrays, strings</t>
        </is>
      </c>
      <c r="J40" t="inlineStr">
        <is>
          <t>Optional</t>
        </is>
      </c>
    </row>
    <row r="41">
      <c r="A41" t="n">
        <v>40</v>
      </c>
      <c r="B41" t="n">
        <v>2</v>
      </c>
      <c r="C41" t="inlineStr">
        <is>
          <t>Hashing &amp; frequency counting</t>
        </is>
      </c>
      <c r="D41" t="inlineStr">
        <is>
          <t>Lonely Integer</t>
        </is>
      </c>
      <c r="E41" t="inlineStr">
        <is>
          <t>HackerRank</t>
        </is>
      </c>
      <c r="F41" s="13" t="inlineStr">
        <is>
          <t>https://www.hackerrank.com/challenges/lonely-integer/problem</t>
        </is>
      </c>
      <c r="G41" t="inlineStr">
        <is>
          <t>Easy</t>
        </is>
      </c>
      <c r="H41" t="inlineStr">
        <is>
          <t>XOR / counting</t>
        </is>
      </c>
      <c r="I41" t="inlineStr">
        <is>
          <t>Arrays, strings</t>
        </is>
      </c>
      <c r="J41" t="inlineStr">
        <is>
          <t>Optional</t>
        </is>
      </c>
    </row>
    <row r="42">
      <c r="A42" t="n">
        <v>41</v>
      </c>
      <c r="B42" t="n">
        <v>2</v>
      </c>
      <c r="C42" t="inlineStr">
        <is>
          <t>Hashing &amp; frequency counting</t>
        </is>
      </c>
      <c r="D42" t="inlineStr">
        <is>
          <t>Two Strings</t>
        </is>
      </c>
      <c r="E42" t="inlineStr">
        <is>
          <t>HackerRank</t>
        </is>
      </c>
      <c r="F42" s="13" t="inlineStr">
        <is>
          <t>https://www.hackerrank.com/challenges/two-strings/problem</t>
        </is>
      </c>
      <c r="G42" t="inlineStr">
        <is>
          <t>Easy</t>
        </is>
      </c>
      <c r="H42" t="inlineStr">
        <is>
          <t>Set intersection</t>
        </is>
      </c>
      <c r="I42" t="inlineStr">
        <is>
          <t>Arrays, strings</t>
        </is>
      </c>
      <c r="J42" t="inlineStr">
        <is>
          <t>Optional</t>
        </is>
      </c>
    </row>
    <row r="43">
      <c r="A43" t="n">
        <v>42</v>
      </c>
      <c r="B43" t="n">
        <v>2</v>
      </c>
      <c r="C43" t="inlineStr">
        <is>
          <t>Hashing &amp; frequency counting</t>
        </is>
      </c>
      <c r="D43" t="inlineStr">
        <is>
          <t>Sparse Arrays</t>
        </is>
      </c>
      <c r="E43" t="inlineStr">
        <is>
          <t>HackerRank</t>
        </is>
      </c>
      <c r="F43" s="13" t="inlineStr">
        <is>
          <t>https://www.hackerrank.com/challenges/sparse-arrays/problem</t>
        </is>
      </c>
      <c r="G43" t="inlineStr">
        <is>
          <t>Medium</t>
        </is>
      </c>
      <c r="H43" t="inlineStr">
        <is>
          <t>Frequency map queries</t>
        </is>
      </c>
      <c r="I43" t="inlineStr">
        <is>
          <t>Arrays, strings</t>
        </is>
      </c>
      <c r="J43" t="inlineStr">
        <is>
          <t>Optional</t>
        </is>
      </c>
    </row>
    <row r="44">
      <c r="A44" t="n">
        <v>43</v>
      </c>
      <c r="B44" t="n">
        <v>2</v>
      </c>
      <c r="C44" t="inlineStr">
        <is>
          <t>Hashing &amp; frequency counting</t>
        </is>
      </c>
      <c r="D44" t="inlineStr">
        <is>
          <t>Sherlock and Anagrams</t>
        </is>
      </c>
      <c r="E44" t="inlineStr">
        <is>
          <t>HackerRank</t>
        </is>
      </c>
      <c r="F44" s="13" t="inlineStr">
        <is>
          <t>https://www.hackerrank.com/challenges/sherlock-and-anagrams/problem</t>
        </is>
      </c>
      <c r="G44" t="inlineStr">
        <is>
          <t>Medium</t>
        </is>
      </c>
      <c r="H44" t="inlineStr">
        <is>
          <t>Substring signature counting</t>
        </is>
      </c>
      <c r="I44" t="inlineStr">
        <is>
          <t>Arrays, strings</t>
        </is>
      </c>
      <c r="J44" t="inlineStr">
        <is>
          <t>Optional</t>
        </is>
      </c>
    </row>
    <row r="45">
      <c r="A45" t="n">
        <v>44</v>
      </c>
      <c r="B45" t="n">
        <v>2</v>
      </c>
      <c r="C45" t="inlineStr">
        <is>
          <t>Two pointers</t>
        </is>
      </c>
      <c r="D45" t="inlineStr">
        <is>
          <t>Two Sum II - Input Array Is Sorted</t>
        </is>
      </c>
      <c r="E45" t="inlineStr">
        <is>
          <t>LeetCode</t>
        </is>
      </c>
      <c r="F45" s="13" t="inlineStr">
        <is>
          <t>https://leetcode.com/problems/two-sum-ii-input-array-is-sorted/</t>
        </is>
      </c>
      <c r="G45" t="inlineStr">
        <is>
          <t>Medium</t>
        </is>
      </c>
      <c r="H45" t="inlineStr">
        <is>
          <t>Converging pointers</t>
        </is>
      </c>
      <c r="I45" t="inlineStr">
        <is>
          <t>Arrays, sorting basics</t>
        </is>
      </c>
      <c r="J45" t="inlineStr">
        <is>
          <t>Essential</t>
        </is>
      </c>
    </row>
    <row r="46">
      <c r="A46" t="n">
        <v>45</v>
      </c>
      <c r="B46" t="n">
        <v>2</v>
      </c>
      <c r="C46" t="inlineStr">
        <is>
          <t>Two pointers</t>
        </is>
      </c>
      <c r="D46" t="inlineStr">
        <is>
          <t>Valid Palindrome II</t>
        </is>
      </c>
      <c r="E46" t="inlineStr">
        <is>
          <t>LeetCode</t>
        </is>
      </c>
      <c r="F46" s="13" t="inlineStr">
        <is>
          <t>https://leetcode.com/problems/valid-palindrome-ii/</t>
        </is>
      </c>
      <c r="G46" t="inlineStr">
        <is>
          <t>Easy</t>
        </is>
      </c>
      <c r="H46" t="inlineStr">
        <is>
          <t>Two pointers with one skip</t>
        </is>
      </c>
      <c r="I46" t="inlineStr">
        <is>
          <t>Arrays, sorting basics</t>
        </is>
      </c>
      <c r="J46" t="inlineStr">
        <is>
          <t>Recommended</t>
        </is>
      </c>
    </row>
    <row r="47">
      <c r="A47" t="n">
        <v>46</v>
      </c>
      <c r="B47" t="n">
        <v>2</v>
      </c>
      <c r="C47" t="inlineStr">
        <is>
          <t>Two pointers</t>
        </is>
      </c>
      <c r="D47" t="inlineStr">
        <is>
          <t>3Sum</t>
        </is>
      </c>
      <c r="E47" t="inlineStr">
        <is>
          <t>LeetCode</t>
        </is>
      </c>
      <c r="F47" s="13" t="inlineStr">
        <is>
          <t>https://leetcode.com/problems/3sum/</t>
        </is>
      </c>
      <c r="G47" t="inlineStr">
        <is>
          <t>Medium</t>
        </is>
      </c>
      <c r="H47" t="inlineStr">
        <is>
          <t>Sort + two pointers, dedupe</t>
        </is>
      </c>
      <c r="I47" t="inlineStr">
        <is>
          <t>Arrays, sorting basics</t>
        </is>
      </c>
      <c r="J47" t="inlineStr">
        <is>
          <t>Essential</t>
        </is>
      </c>
    </row>
    <row r="48">
      <c r="A48" t="n">
        <v>47</v>
      </c>
      <c r="B48" t="n">
        <v>2</v>
      </c>
      <c r="C48" t="inlineStr">
        <is>
          <t>Two pointers</t>
        </is>
      </c>
      <c r="D48" t="inlineStr">
        <is>
          <t>Container With Most Water</t>
        </is>
      </c>
      <c r="E48" t="inlineStr">
        <is>
          <t>LeetCode</t>
        </is>
      </c>
      <c r="F48" s="13" t="inlineStr">
        <is>
          <t>https://leetcode.com/problems/container-with-most-water/</t>
        </is>
      </c>
      <c r="G48" t="inlineStr">
        <is>
          <t>Medium</t>
        </is>
      </c>
      <c r="H48" t="inlineStr">
        <is>
          <t>Greedy pointer move</t>
        </is>
      </c>
      <c r="I48" t="inlineStr">
        <is>
          <t>Arrays, sorting basics</t>
        </is>
      </c>
      <c r="J48" t="inlineStr">
        <is>
          <t>Essential</t>
        </is>
      </c>
    </row>
    <row r="49">
      <c r="A49" t="n">
        <v>48</v>
      </c>
      <c r="B49" t="n">
        <v>2</v>
      </c>
      <c r="C49" t="inlineStr">
        <is>
          <t>Two pointers</t>
        </is>
      </c>
      <c r="D49" t="inlineStr">
        <is>
          <t>Trapping Rain Water</t>
        </is>
      </c>
      <c r="E49" t="inlineStr">
        <is>
          <t>LeetCode</t>
        </is>
      </c>
      <c r="F49" s="13" t="inlineStr">
        <is>
          <t>https://leetcode.com/problems/trapping-rain-water/</t>
        </is>
      </c>
      <c r="G49" t="inlineStr">
        <is>
          <t>Hard</t>
        </is>
      </c>
      <c r="H49" t="inlineStr">
        <is>
          <t>Two-pointer max tracking</t>
        </is>
      </c>
      <c r="I49" t="inlineStr">
        <is>
          <t>Arrays, sorting basics</t>
        </is>
      </c>
      <c r="J49" t="inlineStr">
        <is>
          <t>Recommended</t>
        </is>
      </c>
    </row>
    <row r="50">
      <c r="A50" t="n">
        <v>49</v>
      </c>
      <c r="B50" t="n">
        <v>3</v>
      </c>
      <c r="C50" t="inlineStr">
        <is>
          <t>Sliding window</t>
        </is>
      </c>
      <c r="D50" t="inlineStr">
        <is>
          <t>Maximum Average Subarray I</t>
        </is>
      </c>
      <c r="E50" t="inlineStr">
        <is>
          <t>LeetCode</t>
        </is>
      </c>
      <c r="F50" s="13" t="inlineStr">
        <is>
          <t>https://leetcode.com/problems/maximum-average-subarray-i/</t>
        </is>
      </c>
      <c r="G50" t="inlineStr">
        <is>
          <t>Easy</t>
        </is>
      </c>
      <c r="H50" t="inlineStr">
        <is>
          <t>Fixed window</t>
        </is>
      </c>
      <c r="I50" t="inlineStr">
        <is>
          <t>Two pointers, hashing</t>
        </is>
      </c>
      <c r="J50" t="inlineStr">
        <is>
          <t>Essential</t>
        </is>
      </c>
    </row>
    <row r="51">
      <c r="A51" t="n">
        <v>50</v>
      </c>
      <c r="B51" t="n">
        <v>3</v>
      </c>
      <c r="C51" t="inlineStr">
        <is>
          <t>Sliding window</t>
        </is>
      </c>
      <c r="D51" t="inlineStr">
        <is>
          <t>Longest Substring Without Repeating Characters</t>
        </is>
      </c>
      <c r="E51" t="inlineStr">
        <is>
          <t>LeetCode</t>
        </is>
      </c>
      <c r="F51" s="13" t="inlineStr">
        <is>
          <t>https://leetcode.com/problems/longest-substring-without-repeating-characters/</t>
        </is>
      </c>
      <c r="G51" t="inlineStr">
        <is>
          <t>Medium</t>
        </is>
      </c>
      <c r="H51" t="inlineStr">
        <is>
          <t>Variable window + set/map</t>
        </is>
      </c>
      <c r="I51" t="inlineStr">
        <is>
          <t>Two pointers, hashing</t>
        </is>
      </c>
      <c r="J51" t="inlineStr">
        <is>
          <t>Essential</t>
        </is>
      </c>
    </row>
    <row r="52">
      <c r="A52" t="n">
        <v>51</v>
      </c>
      <c r="B52" t="n">
        <v>3</v>
      </c>
      <c r="C52" t="inlineStr">
        <is>
          <t>Sliding window</t>
        </is>
      </c>
      <c r="D52" t="inlineStr">
        <is>
          <t>Minimum Size Subarray Sum</t>
        </is>
      </c>
      <c r="E52" t="inlineStr">
        <is>
          <t>LeetCode</t>
        </is>
      </c>
      <c r="F52" s="13" t="inlineStr">
        <is>
          <t>https://leetcode.com/problems/minimum-size-subarray-sum/</t>
        </is>
      </c>
      <c r="G52" t="inlineStr">
        <is>
          <t>Medium</t>
        </is>
      </c>
      <c r="H52" t="inlineStr">
        <is>
          <t>Shrinking window</t>
        </is>
      </c>
      <c r="I52" t="inlineStr">
        <is>
          <t>Two pointers, hashing</t>
        </is>
      </c>
      <c r="J52" t="inlineStr">
        <is>
          <t>Essential</t>
        </is>
      </c>
    </row>
    <row r="53">
      <c r="A53" t="n">
        <v>52</v>
      </c>
      <c r="B53" t="n">
        <v>3</v>
      </c>
      <c r="C53" t="inlineStr">
        <is>
          <t>Sliding window</t>
        </is>
      </c>
      <c r="D53" t="inlineStr">
        <is>
          <t>Longest Repeating Character Replacement</t>
        </is>
      </c>
      <c r="E53" t="inlineStr">
        <is>
          <t>LeetCode</t>
        </is>
      </c>
      <c r="F53" s="13" t="inlineStr">
        <is>
          <t>https://leetcode.com/problems/longest-repeating-character-replacement/</t>
        </is>
      </c>
      <c r="G53" t="inlineStr">
        <is>
          <t>Medium</t>
        </is>
      </c>
      <c r="H53" t="inlineStr">
        <is>
          <t>Window validity condition</t>
        </is>
      </c>
      <c r="I53" t="inlineStr">
        <is>
          <t>Two pointers, hashing</t>
        </is>
      </c>
      <c r="J53" t="inlineStr">
        <is>
          <t>Recommended</t>
        </is>
      </c>
    </row>
    <row r="54">
      <c r="A54" t="n">
        <v>53</v>
      </c>
      <c r="B54" t="n">
        <v>3</v>
      </c>
      <c r="C54" t="inlineStr">
        <is>
          <t>Sliding window</t>
        </is>
      </c>
      <c r="D54" t="inlineStr">
        <is>
          <t>Permutation in String</t>
        </is>
      </c>
      <c r="E54" t="inlineStr">
        <is>
          <t>LeetCode</t>
        </is>
      </c>
      <c r="F54" s="13" t="inlineStr">
        <is>
          <t>https://leetcode.com/problems/permutation-in-string/</t>
        </is>
      </c>
      <c r="G54" t="inlineStr">
        <is>
          <t>Medium</t>
        </is>
      </c>
      <c r="H54" t="inlineStr">
        <is>
          <t>Fixed window + frequency compare</t>
        </is>
      </c>
      <c r="I54" t="inlineStr">
        <is>
          <t>Two pointers, hashing</t>
        </is>
      </c>
      <c r="J54" t="inlineStr">
        <is>
          <t>Recommended</t>
        </is>
      </c>
    </row>
    <row r="55">
      <c r="A55" t="n">
        <v>54</v>
      </c>
      <c r="B55" t="n">
        <v>3</v>
      </c>
      <c r="C55" t="inlineStr">
        <is>
          <t>Sliding window</t>
        </is>
      </c>
      <c r="D55" t="inlineStr">
        <is>
          <t>Minimum Window Substring</t>
        </is>
      </c>
      <c r="E55" t="inlineStr">
        <is>
          <t>LeetCode</t>
        </is>
      </c>
      <c r="F55" s="13" t="inlineStr">
        <is>
          <t>https://leetcode.com/problems/minimum-window-substring/</t>
        </is>
      </c>
      <c r="G55" t="inlineStr">
        <is>
          <t>Hard</t>
        </is>
      </c>
      <c r="H55" t="inlineStr">
        <is>
          <t>Window with need/have counts</t>
        </is>
      </c>
      <c r="I55" t="inlineStr">
        <is>
          <t>Two pointers, hashing</t>
        </is>
      </c>
      <c r="J55" t="inlineStr">
        <is>
          <t>Optional</t>
        </is>
      </c>
    </row>
    <row r="56">
      <c r="A56" t="n">
        <v>55</v>
      </c>
      <c r="B56" t="n">
        <v>3</v>
      </c>
      <c r="C56" t="inlineStr">
        <is>
          <t>Sliding window</t>
        </is>
      </c>
      <c r="D56" t="inlineStr">
        <is>
          <t>Sliding Window Maximum</t>
        </is>
      </c>
      <c r="E56" t="inlineStr">
        <is>
          <t>LeetCode</t>
        </is>
      </c>
      <c r="F56" s="13" t="inlineStr">
        <is>
          <t>https://leetcode.com/problems/sliding-window-maximum/</t>
        </is>
      </c>
      <c r="G56" t="inlineStr">
        <is>
          <t>Hard</t>
        </is>
      </c>
      <c r="H56" t="inlineStr">
        <is>
          <t>Monotonic deque</t>
        </is>
      </c>
      <c r="I56" t="inlineStr">
        <is>
          <t>Two pointers, hashing</t>
        </is>
      </c>
      <c r="J56" t="inlineStr">
        <is>
          <t>Optional</t>
        </is>
      </c>
    </row>
    <row r="57">
      <c r="A57" t="n">
        <v>56</v>
      </c>
      <c r="B57" t="n">
        <v>3</v>
      </c>
      <c r="C57" t="inlineStr">
        <is>
          <t>Sorting &amp; binary search</t>
        </is>
      </c>
      <c r="D57" t="inlineStr">
        <is>
          <t>Binary Search</t>
        </is>
      </c>
      <c r="E57" t="inlineStr">
        <is>
          <t>LeetCode</t>
        </is>
      </c>
      <c r="F57" s="13" t="inlineStr">
        <is>
          <t>https://leetcode.com/problems/binary-search/</t>
        </is>
      </c>
      <c r="G57" t="inlineStr">
        <is>
          <t>Easy</t>
        </is>
      </c>
      <c r="H57" t="inlineStr">
        <is>
          <t>Classic template</t>
        </is>
      </c>
      <c r="I57" t="inlineStr">
        <is>
          <t>Arrays, loops, invariants</t>
        </is>
      </c>
      <c r="J57" t="inlineStr">
        <is>
          <t>Essential</t>
        </is>
      </c>
    </row>
    <row r="58">
      <c r="A58" t="n">
        <v>57</v>
      </c>
      <c r="B58" t="n">
        <v>3</v>
      </c>
      <c r="C58" t="inlineStr">
        <is>
          <t>Sorting &amp; binary search</t>
        </is>
      </c>
      <c r="D58" t="inlineStr">
        <is>
          <t>Search Insert Position</t>
        </is>
      </c>
      <c r="E58" t="inlineStr">
        <is>
          <t>LeetCode</t>
        </is>
      </c>
      <c r="F58" s="13" t="inlineStr">
        <is>
          <t>https://leetcode.com/problems/search-insert-position/</t>
        </is>
      </c>
      <c r="G58" t="inlineStr">
        <is>
          <t>Easy</t>
        </is>
      </c>
      <c r="H58" t="inlineStr">
        <is>
          <t>Lower bound</t>
        </is>
      </c>
      <c r="I58" t="inlineStr">
        <is>
          <t>Arrays, loops, invariants</t>
        </is>
      </c>
      <c r="J58" t="inlineStr">
        <is>
          <t>Essential</t>
        </is>
      </c>
    </row>
    <row r="59">
      <c r="A59" t="n">
        <v>58</v>
      </c>
      <c r="B59" t="n">
        <v>3</v>
      </c>
      <c r="C59" t="inlineStr">
        <is>
          <t>Sorting &amp; binary search</t>
        </is>
      </c>
      <c r="D59" t="inlineStr">
        <is>
          <t>First Bad Version</t>
        </is>
      </c>
      <c r="E59" t="inlineStr">
        <is>
          <t>LeetCode</t>
        </is>
      </c>
      <c r="F59" s="13" t="inlineStr">
        <is>
          <t>https://leetcode.com/problems/first-bad-version/</t>
        </is>
      </c>
      <c r="G59" t="inlineStr">
        <is>
          <t>Easy</t>
        </is>
      </c>
      <c r="H59" t="inlineStr">
        <is>
          <t>Binary search on predicate</t>
        </is>
      </c>
      <c r="I59" t="inlineStr">
        <is>
          <t>Arrays, loops, invariants</t>
        </is>
      </c>
      <c r="J59" t="inlineStr">
        <is>
          <t>Recommended</t>
        </is>
      </c>
    </row>
    <row r="60">
      <c r="A60" t="n">
        <v>59</v>
      </c>
      <c r="B60" t="n">
        <v>3</v>
      </c>
      <c r="C60" t="inlineStr">
        <is>
          <t>Sorting &amp; binary search</t>
        </is>
      </c>
      <c r="D60" t="inlineStr">
        <is>
          <t>Sqrt(x)</t>
        </is>
      </c>
      <c r="E60" t="inlineStr">
        <is>
          <t>LeetCode</t>
        </is>
      </c>
      <c r="F60" s="13" t="inlineStr">
        <is>
          <t>https://leetcode.com/problems/sqrtx/</t>
        </is>
      </c>
      <c r="G60" t="inlineStr">
        <is>
          <t>Easy</t>
        </is>
      </c>
      <c r="H60" t="inlineStr">
        <is>
          <t>Binary search on answer</t>
        </is>
      </c>
      <c r="I60" t="inlineStr">
        <is>
          <t>Arrays, loops, invariants</t>
        </is>
      </c>
      <c r="J60" t="inlineStr">
        <is>
          <t>Recommended</t>
        </is>
      </c>
    </row>
    <row r="61">
      <c r="A61" t="n">
        <v>60</v>
      </c>
      <c r="B61" t="n">
        <v>3</v>
      </c>
      <c r="C61" t="inlineStr">
        <is>
          <t>Sorting &amp; binary search</t>
        </is>
      </c>
      <c r="D61" t="inlineStr">
        <is>
          <t>Find First and Last Position of Element in Sorted Array</t>
        </is>
      </c>
      <c r="E61" t="inlineStr">
        <is>
          <t>LeetCode</t>
        </is>
      </c>
      <c r="F61" s="13" t="inlineStr">
        <is>
          <t>https://leetcode.com/problems/find-first-and-last-position-of-element-in-sorted-array/</t>
        </is>
      </c>
      <c r="G61" t="inlineStr">
        <is>
          <t>Medium</t>
        </is>
      </c>
      <c r="H61" t="inlineStr">
        <is>
          <t>Lower/upper bound</t>
        </is>
      </c>
      <c r="I61" t="inlineStr">
        <is>
          <t>Arrays, loops, invariants</t>
        </is>
      </c>
      <c r="J61" t="inlineStr">
        <is>
          <t>Essential</t>
        </is>
      </c>
    </row>
    <row r="62">
      <c r="A62" t="n">
        <v>61</v>
      </c>
      <c r="B62" t="n">
        <v>3</v>
      </c>
      <c r="C62" t="inlineStr">
        <is>
          <t>Sorting &amp; binary search</t>
        </is>
      </c>
      <c r="D62" t="inlineStr">
        <is>
          <t>Search in Rotated Sorted Array</t>
        </is>
      </c>
      <c r="E62" t="inlineStr">
        <is>
          <t>LeetCode</t>
        </is>
      </c>
      <c r="F62" s="13" t="inlineStr">
        <is>
          <t>https://leetcode.com/problems/search-in-rotated-sorted-array/</t>
        </is>
      </c>
      <c r="G62" t="inlineStr">
        <is>
          <t>Medium</t>
        </is>
      </c>
      <c r="H62" t="inlineStr">
        <is>
          <t>Binary search on rotated array</t>
        </is>
      </c>
      <c r="I62" t="inlineStr">
        <is>
          <t>Arrays, loops, invariants</t>
        </is>
      </c>
      <c r="J62" t="inlineStr">
        <is>
          <t>Essential</t>
        </is>
      </c>
    </row>
    <row r="63">
      <c r="A63" t="n">
        <v>62</v>
      </c>
      <c r="B63" t="n">
        <v>3</v>
      </c>
      <c r="C63" t="inlineStr">
        <is>
          <t>Sorting &amp; binary search</t>
        </is>
      </c>
      <c r="D63" t="inlineStr">
        <is>
          <t>Find Minimum in Rotated Sorted Array</t>
        </is>
      </c>
      <c r="E63" t="inlineStr">
        <is>
          <t>LeetCode</t>
        </is>
      </c>
      <c r="F63" s="13" t="inlineStr">
        <is>
          <t>https://leetcode.com/problems/find-minimum-in-rotated-sorted-array/</t>
        </is>
      </c>
      <c r="G63" t="inlineStr">
        <is>
          <t>Medium</t>
        </is>
      </c>
      <c r="H63" t="inlineStr">
        <is>
          <t>Pivot finding</t>
        </is>
      </c>
      <c r="I63" t="inlineStr">
        <is>
          <t>Arrays, loops, invariants</t>
        </is>
      </c>
      <c r="J63" t="inlineStr">
        <is>
          <t>Essential</t>
        </is>
      </c>
    </row>
    <row r="64">
      <c r="A64" t="n">
        <v>63</v>
      </c>
      <c r="B64" t="n">
        <v>3</v>
      </c>
      <c r="C64" t="inlineStr">
        <is>
          <t>Sorting &amp; binary search</t>
        </is>
      </c>
      <c r="D64" t="inlineStr">
        <is>
          <t>Search a 2D Matrix</t>
        </is>
      </c>
      <c r="E64" t="inlineStr">
        <is>
          <t>LeetCode</t>
        </is>
      </c>
      <c r="F64" s="13" t="inlineStr">
        <is>
          <t>https://leetcode.com/problems/search-a-2d-matrix/</t>
        </is>
      </c>
      <c r="G64" t="inlineStr">
        <is>
          <t>Medium</t>
        </is>
      </c>
      <c r="H64" t="inlineStr">
        <is>
          <t>Binary search on flattened index</t>
        </is>
      </c>
      <c r="I64" t="inlineStr">
        <is>
          <t>Arrays, loops, invariants</t>
        </is>
      </c>
      <c r="J64" t="inlineStr">
        <is>
          <t>Recommended</t>
        </is>
      </c>
    </row>
    <row r="65">
      <c r="A65" t="n">
        <v>64</v>
      </c>
      <c r="B65" t="n">
        <v>3</v>
      </c>
      <c r="C65" t="inlineStr">
        <is>
          <t>Sorting &amp; binary search</t>
        </is>
      </c>
      <c r="D65" t="inlineStr">
        <is>
          <t>Koko Eating Bananas</t>
        </is>
      </c>
      <c r="E65" t="inlineStr">
        <is>
          <t>LeetCode</t>
        </is>
      </c>
      <c r="F65" s="13" t="inlineStr">
        <is>
          <t>https://leetcode.com/problems/koko-eating-bananas/</t>
        </is>
      </c>
      <c r="G65" t="inlineStr">
        <is>
          <t>Medium</t>
        </is>
      </c>
      <c r="H65" t="inlineStr">
        <is>
          <t>Binary search on answer</t>
        </is>
      </c>
      <c r="I65" t="inlineStr">
        <is>
          <t>Arrays, loops, invariants</t>
        </is>
      </c>
      <c r="J65" t="inlineStr">
        <is>
          <t>Essential</t>
        </is>
      </c>
    </row>
    <row r="66">
      <c r="A66" t="n">
        <v>65</v>
      </c>
      <c r="B66" t="n">
        <v>3</v>
      </c>
      <c r="C66" t="inlineStr">
        <is>
          <t>Sorting &amp; binary search</t>
        </is>
      </c>
      <c r="D66" t="inlineStr">
        <is>
          <t>Sort Colors</t>
        </is>
      </c>
      <c r="E66" t="inlineStr">
        <is>
          <t>LeetCode</t>
        </is>
      </c>
      <c r="F66" s="13" t="inlineStr">
        <is>
          <t>https://leetcode.com/problems/sort-colors/</t>
        </is>
      </c>
      <c r="G66" t="inlineStr">
        <is>
          <t>Medium</t>
        </is>
      </c>
      <c r="H66" t="inlineStr">
        <is>
          <t>Dutch national flag</t>
        </is>
      </c>
      <c r="I66" t="inlineStr">
        <is>
          <t>Arrays, loops, invariants</t>
        </is>
      </c>
      <c r="J66" t="inlineStr">
        <is>
          <t>Essential</t>
        </is>
      </c>
    </row>
    <row r="67">
      <c r="A67" t="n">
        <v>66</v>
      </c>
      <c r="B67" t="n">
        <v>3</v>
      </c>
      <c r="C67" t="inlineStr">
        <is>
          <t>Sorting &amp; binary search</t>
        </is>
      </c>
      <c r="D67" t="inlineStr">
        <is>
          <t>Merge Intervals</t>
        </is>
      </c>
      <c r="E67" t="inlineStr">
        <is>
          <t>LeetCode</t>
        </is>
      </c>
      <c r="F67" s="13" t="inlineStr">
        <is>
          <t>https://leetcode.com/problems/merge-intervals/</t>
        </is>
      </c>
      <c r="G67" t="inlineStr">
        <is>
          <t>Medium</t>
        </is>
      </c>
      <c r="H67" t="inlineStr">
        <is>
          <t>Sort then sweep</t>
        </is>
      </c>
      <c r="I67" t="inlineStr">
        <is>
          <t>Arrays, loops, invariants</t>
        </is>
      </c>
      <c r="J67" t="inlineStr">
        <is>
          <t>Essential</t>
        </is>
      </c>
    </row>
    <row r="68">
      <c r="A68" t="n">
        <v>67</v>
      </c>
      <c r="B68" t="n">
        <v>3</v>
      </c>
      <c r="C68" t="inlineStr">
        <is>
          <t>Sorting &amp; binary search</t>
        </is>
      </c>
      <c r="D68" t="inlineStr">
        <is>
          <t>Kth Largest Element in an Array</t>
        </is>
      </c>
      <c r="E68" t="inlineStr">
        <is>
          <t>LeetCode</t>
        </is>
      </c>
      <c r="F68" s="13" t="inlineStr">
        <is>
          <t>https://leetcode.com/problems/kth-largest-element-in-an-array/</t>
        </is>
      </c>
      <c r="G68" t="inlineStr">
        <is>
          <t>Medium</t>
        </is>
      </c>
      <c r="H68" t="inlineStr">
        <is>
          <t>Heap / quickselect</t>
        </is>
      </c>
      <c r="I68" t="inlineStr">
        <is>
          <t>Arrays, loops, invariants</t>
        </is>
      </c>
      <c r="J68" t="inlineStr">
        <is>
          <t>Recommended</t>
        </is>
      </c>
    </row>
    <row r="69">
      <c r="A69" t="n">
        <v>68</v>
      </c>
      <c r="B69" t="n">
        <v>4</v>
      </c>
      <c r="C69" t="inlineStr">
        <is>
          <t>Prefix sums, math &amp; matrices</t>
        </is>
      </c>
      <c r="D69" t="inlineStr">
        <is>
          <t>Palindrome Number</t>
        </is>
      </c>
      <c r="E69" t="inlineStr">
        <is>
          <t>LeetCode</t>
        </is>
      </c>
      <c r="F69" s="13" t="inlineStr">
        <is>
          <t>https://leetcode.com/problems/palindrome-number/</t>
        </is>
      </c>
      <c r="G69" t="inlineStr">
        <is>
          <t>Easy</t>
        </is>
      </c>
      <c r="H69" t="inlineStr">
        <is>
          <t>Digit manipulation</t>
        </is>
      </c>
      <c r="I69" t="inlineStr">
        <is>
          <t>Arrays</t>
        </is>
      </c>
      <c r="J69" t="inlineStr">
        <is>
          <t>Recommended</t>
        </is>
      </c>
    </row>
    <row r="70">
      <c r="A70" t="n">
        <v>69</v>
      </c>
      <c r="B70" t="n">
        <v>4</v>
      </c>
      <c r="C70" t="inlineStr">
        <is>
          <t>Prefix sums, math &amp; matrices</t>
        </is>
      </c>
      <c r="D70" t="inlineStr">
        <is>
          <t>Reverse Integer</t>
        </is>
      </c>
      <c r="E70" t="inlineStr">
        <is>
          <t>LeetCode</t>
        </is>
      </c>
      <c r="F70" s="13" t="inlineStr">
        <is>
          <t>https://leetcode.com/problems/reverse-integer/</t>
        </is>
      </c>
      <c r="G70" t="inlineStr">
        <is>
          <t>Medium</t>
        </is>
      </c>
      <c r="H70" t="inlineStr">
        <is>
          <t>Overflow-aware digits</t>
        </is>
      </c>
      <c r="I70" t="inlineStr">
        <is>
          <t>Arrays</t>
        </is>
      </c>
      <c r="J70" t="inlineStr">
        <is>
          <t>Recommended</t>
        </is>
      </c>
    </row>
    <row r="71">
      <c r="A71" t="n">
        <v>70</v>
      </c>
      <c r="B71" t="n">
        <v>4</v>
      </c>
      <c r="C71" t="inlineStr">
        <is>
          <t>Prefix sums, math &amp; matrices</t>
        </is>
      </c>
      <c r="D71" t="inlineStr">
        <is>
          <t>Count Primes</t>
        </is>
      </c>
      <c r="E71" t="inlineStr">
        <is>
          <t>LeetCode</t>
        </is>
      </c>
      <c r="F71" s="13" t="inlineStr">
        <is>
          <t>https://leetcode.com/problems/count-primes/</t>
        </is>
      </c>
      <c r="G71" t="inlineStr">
        <is>
          <t>Medium</t>
        </is>
      </c>
      <c r="H71" t="inlineStr">
        <is>
          <t>Sieve of Eratosthenes</t>
        </is>
      </c>
      <c r="I71" t="inlineStr">
        <is>
          <t>Arrays</t>
        </is>
      </c>
      <c r="J71" t="inlineStr">
        <is>
          <t>Essential</t>
        </is>
      </c>
    </row>
    <row r="72">
      <c r="A72" t="n">
        <v>71</v>
      </c>
      <c r="B72" t="n">
        <v>4</v>
      </c>
      <c r="C72" t="inlineStr">
        <is>
          <t>Prefix sums, math &amp; matrices</t>
        </is>
      </c>
      <c r="D72" t="inlineStr">
        <is>
          <t>Power of Two</t>
        </is>
      </c>
      <c r="E72" t="inlineStr">
        <is>
          <t>LeetCode</t>
        </is>
      </c>
      <c r="F72" s="13" t="inlineStr">
        <is>
          <t>https://leetcode.com/problems/power-of-two/</t>
        </is>
      </c>
      <c r="G72" t="inlineStr">
        <is>
          <t>Easy</t>
        </is>
      </c>
      <c r="H72" t="inlineStr">
        <is>
          <t>Math / bit trick</t>
        </is>
      </c>
      <c r="I72" t="inlineStr">
        <is>
          <t>Arrays</t>
        </is>
      </c>
      <c r="J72" t="inlineStr">
        <is>
          <t>Optional</t>
        </is>
      </c>
    </row>
    <row r="73">
      <c r="A73" t="n">
        <v>72</v>
      </c>
      <c r="B73" t="n">
        <v>4</v>
      </c>
      <c r="C73" t="inlineStr">
        <is>
          <t>Prefix sums, math &amp; matrices</t>
        </is>
      </c>
      <c r="D73" t="inlineStr">
        <is>
          <t>Pow(x, n)</t>
        </is>
      </c>
      <c r="E73" t="inlineStr">
        <is>
          <t>LeetCode</t>
        </is>
      </c>
      <c r="F73" s="13" t="inlineStr">
        <is>
          <t>https://leetcode.com/problems/powx-n/</t>
        </is>
      </c>
      <c r="G73" t="inlineStr">
        <is>
          <t>Medium</t>
        </is>
      </c>
      <c r="H73" t="inlineStr">
        <is>
          <t>Fast exponentiation</t>
        </is>
      </c>
      <c r="I73" t="inlineStr">
        <is>
          <t>Arrays</t>
        </is>
      </c>
      <c r="J73" t="inlineStr">
        <is>
          <t>Recommended</t>
        </is>
      </c>
    </row>
    <row r="74">
      <c r="A74" t="n">
        <v>73</v>
      </c>
      <c r="B74" t="n">
        <v>4</v>
      </c>
      <c r="C74" t="inlineStr">
        <is>
          <t>Prefix sums, math &amp; matrices</t>
        </is>
      </c>
      <c r="D74" t="inlineStr">
        <is>
          <t>Rotate Image</t>
        </is>
      </c>
      <c r="E74" t="inlineStr">
        <is>
          <t>LeetCode</t>
        </is>
      </c>
      <c r="F74" s="13" t="inlineStr">
        <is>
          <t>https://leetcode.com/problems/rotate-image/</t>
        </is>
      </c>
      <c r="G74" t="inlineStr">
        <is>
          <t>Medium</t>
        </is>
      </c>
      <c r="H74" t="inlineStr">
        <is>
          <t>Matrix transpose + reverse</t>
        </is>
      </c>
      <c r="I74" t="inlineStr">
        <is>
          <t>Arrays</t>
        </is>
      </c>
      <c r="J74" t="inlineStr">
        <is>
          <t>Essential</t>
        </is>
      </c>
    </row>
    <row r="75">
      <c r="A75" t="n">
        <v>74</v>
      </c>
      <c r="B75" t="n">
        <v>4</v>
      </c>
      <c r="C75" t="inlineStr">
        <is>
          <t>Prefix sums, math &amp; matrices</t>
        </is>
      </c>
      <c r="D75" t="inlineStr">
        <is>
          <t>Spiral Matrix</t>
        </is>
      </c>
      <c r="E75" t="inlineStr">
        <is>
          <t>LeetCode</t>
        </is>
      </c>
      <c r="F75" s="13" t="inlineStr">
        <is>
          <t>https://leetcode.com/problems/spiral-matrix/</t>
        </is>
      </c>
      <c r="G75" t="inlineStr">
        <is>
          <t>Medium</t>
        </is>
      </c>
      <c r="H75" t="inlineStr">
        <is>
          <t>Boundary simulation</t>
        </is>
      </c>
      <c r="I75" t="inlineStr">
        <is>
          <t>Arrays</t>
        </is>
      </c>
      <c r="J75" t="inlineStr">
        <is>
          <t>Essential</t>
        </is>
      </c>
    </row>
    <row r="76">
      <c r="A76" t="n">
        <v>75</v>
      </c>
      <c r="B76" t="n">
        <v>4</v>
      </c>
      <c r="C76" t="inlineStr">
        <is>
          <t>Prefix sums, math &amp; matrices</t>
        </is>
      </c>
      <c r="D76" t="inlineStr">
        <is>
          <t>Set Matrix Zeroes</t>
        </is>
      </c>
      <c r="E76" t="inlineStr">
        <is>
          <t>LeetCode</t>
        </is>
      </c>
      <c r="F76" s="13" t="inlineStr">
        <is>
          <t>https://leetcode.com/problems/set-matrix-zeroes/</t>
        </is>
      </c>
      <c r="G76" t="inlineStr">
        <is>
          <t>Medium</t>
        </is>
      </c>
      <c r="H76" t="inlineStr">
        <is>
          <t>In-place markers</t>
        </is>
      </c>
      <c r="I76" t="inlineStr">
        <is>
          <t>Arrays</t>
        </is>
      </c>
      <c r="J76" t="inlineStr">
        <is>
          <t>Recommended</t>
        </is>
      </c>
    </row>
    <row r="77">
      <c r="A77" t="n">
        <v>76</v>
      </c>
      <c r="B77" t="n">
        <v>4</v>
      </c>
      <c r="C77" t="inlineStr">
        <is>
          <t>Prefix sums, math &amp; matrices</t>
        </is>
      </c>
      <c r="D77" t="inlineStr">
        <is>
          <t>Valid Sudoku</t>
        </is>
      </c>
      <c r="E77" t="inlineStr">
        <is>
          <t>LeetCode</t>
        </is>
      </c>
      <c r="F77" s="13" t="inlineStr">
        <is>
          <t>https://leetcode.com/problems/valid-sudoku/</t>
        </is>
      </c>
      <c r="G77" t="inlineStr">
        <is>
          <t>Medium</t>
        </is>
      </c>
      <c r="H77" t="inlineStr">
        <is>
          <t>Hash sets on grids</t>
        </is>
      </c>
      <c r="I77" t="inlineStr">
        <is>
          <t>Arrays</t>
        </is>
      </c>
      <c r="J77" t="inlineStr">
        <is>
          <t>Recommended</t>
        </is>
      </c>
    </row>
    <row r="78">
      <c r="A78" t="n">
        <v>77</v>
      </c>
      <c r="B78" t="n">
        <v>4</v>
      </c>
      <c r="C78" t="inlineStr">
        <is>
          <t>Prefix sums, math &amp; matrices</t>
        </is>
      </c>
      <c r="D78" t="inlineStr">
        <is>
          <t>Insert Interval</t>
        </is>
      </c>
      <c r="E78" t="inlineStr">
        <is>
          <t>LeetCode</t>
        </is>
      </c>
      <c r="F78" s="13" t="inlineStr">
        <is>
          <t>https://leetcode.com/problems/insert-interval/</t>
        </is>
      </c>
      <c r="G78" t="inlineStr">
        <is>
          <t>Medium</t>
        </is>
      </c>
      <c r="H78" t="inlineStr">
        <is>
          <t>Interval merging</t>
        </is>
      </c>
      <c r="I78" t="inlineStr">
        <is>
          <t>Arrays</t>
        </is>
      </c>
      <c r="J78" t="inlineStr">
        <is>
          <t>Recommended</t>
        </is>
      </c>
    </row>
    <row r="79">
      <c r="A79" t="n">
        <v>78</v>
      </c>
      <c r="B79" t="n">
        <v>4</v>
      </c>
      <c r="C79" t="inlineStr">
        <is>
          <t>Bit manipulation</t>
        </is>
      </c>
      <c r="D79" t="inlineStr">
        <is>
          <t>Number of 1 Bits</t>
        </is>
      </c>
      <c r="E79" t="inlineStr">
        <is>
          <t>LeetCode</t>
        </is>
      </c>
      <c r="F79" s="13" t="inlineStr">
        <is>
          <t>https://leetcode.com/problems/number-of-1-bits/</t>
        </is>
      </c>
      <c r="G79" t="inlineStr">
        <is>
          <t>Easy</t>
        </is>
      </c>
      <c r="H79" t="inlineStr">
        <is>
          <t>Bit counting</t>
        </is>
      </c>
      <c r="I79" t="inlineStr">
        <is>
          <t>Binary numbers</t>
        </is>
      </c>
      <c r="J79" t="inlineStr">
        <is>
          <t>Essential</t>
        </is>
      </c>
    </row>
    <row r="80">
      <c r="A80" t="n">
        <v>79</v>
      </c>
      <c r="B80" t="n">
        <v>4</v>
      </c>
      <c r="C80" t="inlineStr">
        <is>
          <t>Bit manipulation</t>
        </is>
      </c>
      <c r="D80" t="inlineStr">
        <is>
          <t>Counting Bits</t>
        </is>
      </c>
      <c r="E80" t="inlineStr">
        <is>
          <t>LeetCode</t>
        </is>
      </c>
      <c r="F80" s="13" t="inlineStr">
        <is>
          <t>https://leetcode.com/problems/counting-bits/</t>
        </is>
      </c>
      <c r="G80" t="inlineStr">
        <is>
          <t>Easy</t>
        </is>
      </c>
      <c r="H80" t="inlineStr">
        <is>
          <t>DP on bits</t>
        </is>
      </c>
      <c r="I80" t="inlineStr">
        <is>
          <t>Binary numbers</t>
        </is>
      </c>
      <c r="J80" t="inlineStr">
        <is>
          <t>Recommended</t>
        </is>
      </c>
    </row>
    <row r="81">
      <c r="A81" t="n">
        <v>80</v>
      </c>
      <c r="B81" t="n">
        <v>4</v>
      </c>
      <c r="C81" t="inlineStr">
        <is>
          <t>Bit manipulation</t>
        </is>
      </c>
      <c r="D81" t="inlineStr">
        <is>
          <t>Reverse Bits</t>
        </is>
      </c>
      <c r="E81" t="inlineStr">
        <is>
          <t>LeetCode</t>
        </is>
      </c>
      <c r="F81" s="13" t="inlineStr">
        <is>
          <t>https://leetcode.com/problems/reverse-bits/</t>
        </is>
      </c>
      <c r="G81" t="inlineStr">
        <is>
          <t>Easy</t>
        </is>
      </c>
      <c r="H81" t="inlineStr">
        <is>
          <t>Shifting</t>
        </is>
      </c>
      <c r="I81" t="inlineStr">
        <is>
          <t>Binary numbers</t>
        </is>
      </c>
      <c r="J81" t="inlineStr">
        <is>
          <t>Optional</t>
        </is>
      </c>
    </row>
    <row r="82">
      <c r="A82" t="n">
        <v>81</v>
      </c>
      <c r="B82" t="n">
        <v>4</v>
      </c>
      <c r="C82" t="inlineStr">
        <is>
          <t>Bit manipulation</t>
        </is>
      </c>
      <c r="D82" t="inlineStr">
        <is>
          <t>Sum of Two Integers</t>
        </is>
      </c>
      <c r="E82" t="inlineStr">
        <is>
          <t>LeetCode</t>
        </is>
      </c>
      <c r="F82" s="13" t="inlineStr">
        <is>
          <t>https://leetcode.com/problems/sum-of-two-integers/</t>
        </is>
      </c>
      <c r="G82" t="inlineStr">
        <is>
          <t>Medium</t>
        </is>
      </c>
      <c r="H82" t="inlineStr">
        <is>
          <t>Bitwise addition</t>
        </is>
      </c>
      <c r="I82" t="inlineStr">
        <is>
          <t>Binary numbers</t>
        </is>
      </c>
      <c r="J82" t="inlineStr">
        <is>
          <t>Optional</t>
        </is>
      </c>
    </row>
    <row r="83">
      <c r="A83" t="n">
        <v>82</v>
      </c>
      <c r="B83" t="n">
        <v>4</v>
      </c>
      <c r="C83" t="inlineStr">
        <is>
          <t>Recursion &amp; backtracking</t>
        </is>
      </c>
      <c r="D83" t="inlineStr">
        <is>
          <t>Fibonacci Number</t>
        </is>
      </c>
      <c r="E83" t="inlineStr">
        <is>
          <t>LeetCode</t>
        </is>
      </c>
      <c r="F83" s="13" t="inlineStr">
        <is>
          <t>https://leetcode.com/problems/fibonacci-number/</t>
        </is>
      </c>
      <c r="G83" t="inlineStr">
        <is>
          <t>Easy</t>
        </is>
      </c>
      <c r="H83" t="inlineStr">
        <is>
          <t>Recursion base cases</t>
        </is>
      </c>
      <c r="I83" t="inlineStr">
        <is>
          <t>Arrays, call stack</t>
        </is>
      </c>
      <c r="J83" t="inlineStr">
        <is>
          <t>Essential</t>
        </is>
      </c>
    </row>
    <row r="84">
      <c r="A84" t="n">
        <v>83</v>
      </c>
      <c r="B84" t="n">
        <v>4</v>
      </c>
      <c r="C84" t="inlineStr">
        <is>
          <t>Recursion &amp; backtracking</t>
        </is>
      </c>
      <c r="D84" t="inlineStr">
        <is>
          <t>Subsets</t>
        </is>
      </c>
      <c r="E84" t="inlineStr">
        <is>
          <t>LeetCode</t>
        </is>
      </c>
      <c r="F84" s="13" t="inlineStr">
        <is>
          <t>https://leetcode.com/problems/subsets/</t>
        </is>
      </c>
      <c r="G84" t="inlineStr">
        <is>
          <t>Medium</t>
        </is>
      </c>
      <c r="H84" t="inlineStr">
        <is>
          <t>Include/exclude choice</t>
        </is>
      </c>
      <c r="I84" t="inlineStr">
        <is>
          <t>Arrays, call stack</t>
        </is>
      </c>
      <c r="J84" t="inlineStr">
        <is>
          <t>Essential</t>
        </is>
      </c>
    </row>
    <row r="85">
      <c r="A85" t="n">
        <v>84</v>
      </c>
      <c r="B85" t="n">
        <v>4</v>
      </c>
      <c r="C85" t="inlineStr">
        <is>
          <t>Recursion &amp; backtracking</t>
        </is>
      </c>
      <c r="D85" t="inlineStr">
        <is>
          <t>Permutations</t>
        </is>
      </c>
      <c r="E85" t="inlineStr">
        <is>
          <t>LeetCode</t>
        </is>
      </c>
      <c r="F85" s="13" t="inlineStr">
        <is>
          <t>https://leetcode.com/problems/permutations/</t>
        </is>
      </c>
      <c r="G85" t="inlineStr">
        <is>
          <t>Medium</t>
        </is>
      </c>
      <c r="H85" t="inlineStr">
        <is>
          <t>Used-array backtracking</t>
        </is>
      </c>
      <c r="I85" t="inlineStr">
        <is>
          <t>Arrays, call stack</t>
        </is>
      </c>
      <c r="J85" t="inlineStr">
        <is>
          <t>Essential</t>
        </is>
      </c>
    </row>
    <row r="86">
      <c r="A86" t="n">
        <v>85</v>
      </c>
      <c r="B86" t="n">
        <v>4</v>
      </c>
      <c r="C86" t="inlineStr">
        <is>
          <t>Recursion &amp; backtracking</t>
        </is>
      </c>
      <c r="D86" t="inlineStr">
        <is>
          <t>Combination Sum</t>
        </is>
      </c>
      <c r="E86" t="inlineStr">
        <is>
          <t>LeetCode</t>
        </is>
      </c>
      <c r="F86" s="13" t="inlineStr">
        <is>
          <t>https://leetcode.com/problems/combination-sum/</t>
        </is>
      </c>
      <c r="G86" t="inlineStr">
        <is>
          <t>Medium</t>
        </is>
      </c>
      <c r="H86" t="inlineStr">
        <is>
          <t>Reuse with start index</t>
        </is>
      </c>
      <c r="I86" t="inlineStr">
        <is>
          <t>Arrays, call stack</t>
        </is>
      </c>
      <c r="J86" t="inlineStr">
        <is>
          <t>Essential</t>
        </is>
      </c>
    </row>
    <row r="87">
      <c r="A87" t="n">
        <v>86</v>
      </c>
      <c r="B87" t="n">
        <v>4</v>
      </c>
      <c r="C87" t="inlineStr">
        <is>
          <t>Recursion &amp; backtracking</t>
        </is>
      </c>
      <c r="D87" t="inlineStr">
        <is>
          <t>Letter Combinations of a Phone Number</t>
        </is>
      </c>
      <c r="E87" t="inlineStr">
        <is>
          <t>LeetCode</t>
        </is>
      </c>
      <c r="F87" s="13" t="inlineStr">
        <is>
          <t>https://leetcode.com/problems/letter-combinations-of-a-phone-number/</t>
        </is>
      </c>
      <c r="G87" t="inlineStr">
        <is>
          <t>Medium</t>
        </is>
      </c>
      <c r="H87" t="inlineStr">
        <is>
          <t>Cartesian backtracking</t>
        </is>
      </c>
      <c r="I87" t="inlineStr">
        <is>
          <t>Arrays, call stack</t>
        </is>
      </c>
      <c r="J87" t="inlineStr">
        <is>
          <t>Recommended</t>
        </is>
      </c>
    </row>
    <row r="88">
      <c r="A88" t="n">
        <v>87</v>
      </c>
      <c r="B88" t="n">
        <v>4</v>
      </c>
      <c r="C88" t="inlineStr">
        <is>
          <t>Recursion &amp; backtracking</t>
        </is>
      </c>
      <c r="D88" t="inlineStr">
        <is>
          <t>Generate Parentheses</t>
        </is>
      </c>
      <c r="E88" t="inlineStr">
        <is>
          <t>LeetCode</t>
        </is>
      </c>
      <c r="F88" s="13" t="inlineStr">
        <is>
          <t>https://leetcode.com/problems/generate-parentheses/</t>
        </is>
      </c>
      <c r="G88" t="inlineStr">
        <is>
          <t>Medium</t>
        </is>
      </c>
      <c r="H88" t="inlineStr">
        <is>
          <t>Constrained generation</t>
        </is>
      </c>
      <c r="I88" t="inlineStr">
        <is>
          <t>Arrays, call stack</t>
        </is>
      </c>
      <c r="J88" t="inlineStr">
        <is>
          <t>Essential</t>
        </is>
      </c>
    </row>
    <row r="89">
      <c r="A89" t="n">
        <v>88</v>
      </c>
      <c r="B89" t="n">
        <v>4</v>
      </c>
      <c r="C89" t="inlineStr">
        <is>
          <t>Recursion &amp; backtracking</t>
        </is>
      </c>
      <c r="D89" t="inlineStr">
        <is>
          <t>Word Search</t>
        </is>
      </c>
      <c r="E89" t="inlineStr">
        <is>
          <t>LeetCode</t>
        </is>
      </c>
      <c r="F89" s="13" t="inlineStr">
        <is>
          <t>https://leetcode.com/problems/word-search/</t>
        </is>
      </c>
      <c r="G89" t="inlineStr">
        <is>
          <t>Medium</t>
        </is>
      </c>
      <c r="H89" t="inlineStr">
        <is>
          <t>Grid DFS + backtrack</t>
        </is>
      </c>
      <c r="I89" t="inlineStr">
        <is>
          <t>Arrays, call stack</t>
        </is>
      </c>
      <c r="J89" t="inlineStr">
        <is>
          <t>Recommended</t>
        </is>
      </c>
    </row>
    <row r="90">
      <c r="A90" t="n">
        <v>89</v>
      </c>
      <c r="B90" t="n">
        <v>4</v>
      </c>
      <c r="C90" t="inlineStr">
        <is>
          <t>Recursion &amp; backtracking</t>
        </is>
      </c>
      <c r="D90" t="inlineStr">
        <is>
          <t>Palindrome Partitioning</t>
        </is>
      </c>
      <c r="E90" t="inlineStr">
        <is>
          <t>LeetCode</t>
        </is>
      </c>
      <c r="F90" s="13" t="inlineStr">
        <is>
          <t>https://leetcode.com/problems/palindrome-partitioning/</t>
        </is>
      </c>
      <c r="G90" t="inlineStr">
        <is>
          <t>Medium</t>
        </is>
      </c>
      <c r="H90" t="inlineStr">
        <is>
          <t>Partition backtracking</t>
        </is>
      </c>
      <c r="I90" t="inlineStr">
        <is>
          <t>Arrays, call stack</t>
        </is>
      </c>
      <c r="J90" t="inlineStr">
        <is>
          <t>Optional</t>
        </is>
      </c>
    </row>
    <row r="91">
      <c r="A91" t="n">
        <v>90</v>
      </c>
      <c r="B91" t="n">
        <v>5</v>
      </c>
      <c r="C91" t="inlineStr">
        <is>
          <t>Linked lists</t>
        </is>
      </c>
      <c r="D91" t="inlineStr">
        <is>
          <t>Reverse Linked List</t>
        </is>
      </c>
      <c r="E91" t="inlineStr">
        <is>
          <t>LeetCode</t>
        </is>
      </c>
      <c r="F91" s="13" t="inlineStr">
        <is>
          <t>https://leetcode.com/problems/reverse-linked-list/</t>
        </is>
      </c>
      <c r="G91" t="inlineStr">
        <is>
          <t>Easy</t>
        </is>
      </c>
      <c r="H91" t="inlineStr">
        <is>
          <t>Pointer reversal</t>
        </is>
      </c>
      <c r="I91" t="inlineStr">
        <is>
          <t>Pointers/references, recursion</t>
        </is>
      </c>
      <c r="J91" t="inlineStr">
        <is>
          <t>Essential</t>
        </is>
      </c>
    </row>
    <row r="92">
      <c r="A92" t="n">
        <v>91</v>
      </c>
      <c r="B92" t="n">
        <v>5</v>
      </c>
      <c r="C92" t="inlineStr">
        <is>
          <t>Linked lists</t>
        </is>
      </c>
      <c r="D92" t="inlineStr">
        <is>
          <t>Merge Two Sorted Lists</t>
        </is>
      </c>
      <c r="E92" t="inlineStr">
        <is>
          <t>LeetCode</t>
        </is>
      </c>
      <c r="F92" s="13" t="inlineStr">
        <is>
          <t>https://leetcode.com/problems/merge-two-sorted-lists/</t>
        </is>
      </c>
      <c r="G92" t="inlineStr">
        <is>
          <t>Easy</t>
        </is>
      </c>
      <c r="H92" t="inlineStr">
        <is>
          <t>Dummy node merge</t>
        </is>
      </c>
      <c r="I92" t="inlineStr">
        <is>
          <t>Pointers/references, recursion</t>
        </is>
      </c>
      <c r="J92" t="inlineStr">
        <is>
          <t>Essential</t>
        </is>
      </c>
    </row>
    <row r="93">
      <c r="A93" t="n">
        <v>92</v>
      </c>
      <c r="B93" t="n">
        <v>5</v>
      </c>
      <c r="C93" t="inlineStr">
        <is>
          <t>Linked lists</t>
        </is>
      </c>
      <c r="D93" t="inlineStr">
        <is>
          <t>Linked List Cycle</t>
        </is>
      </c>
      <c r="E93" t="inlineStr">
        <is>
          <t>LeetCode</t>
        </is>
      </c>
      <c r="F93" s="13" t="inlineStr">
        <is>
          <t>https://leetcode.com/problems/linked-list-cycle/</t>
        </is>
      </c>
      <c r="G93" t="inlineStr">
        <is>
          <t>Easy</t>
        </is>
      </c>
      <c r="H93" t="inlineStr">
        <is>
          <t>Fast/slow pointers</t>
        </is>
      </c>
      <c r="I93" t="inlineStr">
        <is>
          <t>Pointers/references, recursion</t>
        </is>
      </c>
      <c r="J93" t="inlineStr">
        <is>
          <t>Essential</t>
        </is>
      </c>
    </row>
    <row r="94">
      <c r="A94" t="n">
        <v>93</v>
      </c>
      <c r="B94" t="n">
        <v>5</v>
      </c>
      <c r="C94" t="inlineStr">
        <is>
          <t>Linked lists</t>
        </is>
      </c>
      <c r="D94" t="inlineStr">
        <is>
          <t>Middle of the Linked List</t>
        </is>
      </c>
      <c r="E94" t="inlineStr">
        <is>
          <t>LeetCode</t>
        </is>
      </c>
      <c r="F94" s="13" t="inlineStr">
        <is>
          <t>https://leetcode.com/problems/middle-of-the-linked-list/</t>
        </is>
      </c>
      <c r="G94" t="inlineStr">
        <is>
          <t>Easy</t>
        </is>
      </c>
      <c r="H94" t="inlineStr">
        <is>
          <t>Fast/slow pointers</t>
        </is>
      </c>
      <c r="I94" t="inlineStr">
        <is>
          <t>Pointers/references, recursion</t>
        </is>
      </c>
      <c r="J94" t="inlineStr">
        <is>
          <t>Essential</t>
        </is>
      </c>
    </row>
    <row r="95">
      <c r="A95" t="n">
        <v>94</v>
      </c>
      <c r="B95" t="n">
        <v>5</v>
      </c>
      <c r="C95" t="inlineStr">
        <is>
          <t>Linked lists</t>
        </is>
      </c>
      <c r="D95" t="inlineStr">
        <is>
          <t>Remove Linked List Elements</t>
        </is>
      </c>
      <c r="E95" t="inlineStr">
        <is>
          <t>LeetCode</t>
        </is>
      </c>
      <c r="F95" s="13" t="inlineStr">
        <is>
          <t>https://leetcode.com/problems/remove-linked-list-elements/</t>
        </is>
      </c>
      <c r="G95" t="inlineStr">
        <is>
          <t>Easy</t>
        </is>
      </c>
      <c r="H95" t="inlineStr">
        <is>
          <t>Dummy node deletion</t>
        </is>
      </c>
      <c r="I95" t="inlineStr">
        <is>
          <t>Pointers/references, recursion</t>
        </is>
      </c>
      <c r="J95" t="inlineStr">
        <is>
          <t>Recommended</t>
        </is>
      </c>
    </row>
    <row r="96">
      <c r="A96" t="n">
        <v>95</v>
      </c>
      <c r="B96" t="n">
        <v>5</v>
      </c>
      <c r="C96" t="inlineStr">
        <is>
          <t>Linked lists</t>
        </is>
      </c>
      <c r="D96" t="inlineStr">
        <is>
          <t>Palindrome Linked List</t>
        </is>
      </c>
      <c r="E96" t="inlineStr">
        <is>
          <t>LeetCode</t>
        </is>
      </c>
      <c r="F96" s="13" t="inlineStr">
        <is>
          <t>https://leetcode.com/problems/palindrome-linked-list/</t>
        </is>
      </c>
      <c r="G96" t="inlineStr">
        <is>
          <t>Easy</t>
        </is>
      </c>
      <c r="H96" t="inlineStr">
        <is>
          <t>Middle + reverse</t>
        </is>
      </c>
      <c r="I96" t="inlineStr">
        <is>
          <t>Pointers/references, recursion</t>
        </is>
      </c>
      <c r="J96" t="inlineStr">
        <is>
          <t>Recommended</t>
        </is>
      </c>
    </row>
    <row r="97">
      <c r="A97" t="n">
        <v>96</v>
      </c>
      <c r="B97" t="n">
        <v>5</v>
      </c>
      <c r="C97" t="inlineStr">
        <is>
          <t>Linked lists</t>
        </is>
      </c>
      <c r="D97" t="inlineStr">
        <is>
          <t>Intersection of Two Linked Lists</t>
        </is>
      </c>
      <c r="E97" t="inlineStr">
        <is>
          <t>LeetCode</t>
        </is>
      </c>
      <c r="F97" s="13" t="inlineStr">
        <is>
          <t>https://leetcode.com/problems/intersection-of-two-linked-lists/</t>
        </is>
      </c>
      <c r="G97" t="inlineStr">
        <is>
          <t>Easy</t>
        </is>
      </c>
      <c r="H97" t="inlineStr">
        <is>
          <t>Pointer switching</t>
        </is>
      </c>
      <c r="I97" t="inlineStr">
        <is>
          <t>Pointers/references, recursion</t>
        </is>
      </c>
      <c r="J97" t="inlineStr">
        <is>
          <t>Recommended</t>
        </is>
      </c>
    </row>
    <row r="98">
      <c r="A98" t="n">
        <v>97</v>
      </c>
      <c r="B98" t="n">
        <v>5</v>
      </c>
      <c r="C98" t="inlineStr">
        <is>
          <t>Linked lists</t>
        </is>
      </c>
      <c r="D98" t="inlineStr">
        <is>
          <t>Remove Nth Node From End of List</t>
        </is>
      </c>
      <c r="E98" t="inlineStr">
        <is>
          <t>LeetCode</t>
        </is>
      </c>
      <c r="F98" s="13" t="inlineStr">
        <is>
          <t>https://leetcode.com/problems/remove-nth-node-from-end-of-list/</t>
        </is>
      </c>
      <c r="G98" t="inlineStr">
        <is>
          <t>Medium</t>
        </is>
      </c>
      <c r="H98" t="inlineStr">
        <is>
          <t>Gap pointers</t>
        </is>
      </c>
      <c r="I98" t="inlineStr">
        <is>
          <t>Pointers/references, recursion</t>
        </is>
      </c>
      <c r="J98" t="inlineStr">
        <is>
          <t>Essential</t>
        </is>
      </c>
    </row>
    <row r="99">
      <c r="A99" t="n">
        <v>98</v>
      </c>
      <c r="B99" t="n">
        <v>5</v>
      </c>
      <c r="C99" t="inlineStr">
        <is>
          <t>Linked lists</t>
        </is>
      </c>
      <c r="D99" t="inlineStr">
        <is>
          <t>Linked List Cycle II</t>
        </is>
      </c>
      <c r="E99" t="inlineStr">
        <is>
          <t>LeetCode</t>
        </is>
      </c>
      <c r="F99" s="13" t="inlineStr">
        <is>
          <t>https://leetcode.com/problems/linked-list-cycle-ii/</t>
        </is>
      </c>
      <c r="G99" t="inlineStr">
        <is>
          <t>Medium</t>
        </is>
      </c>
      <c r="H99" t="inlineStr">
        <is>
          <t>Floyd cycle start</t>
        </is>
      </c>
      <c r="I99" t="inlineStr">
        <is>
          <t>Pointers/references, recursion</t>
        </is>
      </c>
      <c r="J99" t="inlineStr">
        <is>
          <t>Recommended</t>
        </is>
      </c>
    </row>
    <row r="100">
      <c r="A100" t="n">
        <v>99</v>
      </c>
      <c r="B100" t="n">
        <v>5</v>
      </c>
      <c r="C100" t="inlineStr">
        <is>
          <t>Linked lists</t>
        </is>
      </c>
      <c r="D100" t="inlineStr">
        <is>
          <t>Add Two Numbers</t>
        </is>
      </c>
      <c r="E100" t="inlineStr">
        <is>
          <t>LeetCode</t>
        </is>
      </c>
      <c r="F100" s="13" t="inlineStr">
        <is>
          <t>https://leetcode.com/problems/add-two-numbers/</t>
        </is>
      </c>
      <c r="G100" t="inlineStr">
        <is>
          <t>Medium</t>
        </is>
      </c>
      <c r="H100" t="inlineStr">
        <is>
          <t>Carry on lists</t>
        </is>
      </c>
      <c r="I100" t="inlineStr">
        <is>
          <t>Pointers/references, recursion</t>
        </is>
      </c>
      <c r="J100" t="inlineStr">
        <is>
          <t>Essential</t>
        </is>
      </c>
    </row>
    <row r="101">
      <c r="A101" t="n">
        <v>100</v>
      </c>
      <c r="B101" t="n">
        <v>5</v>
      </c>
      <c r="C101" t="inlineStr">
        <is>
          <t>Linked lists</t>
        </is>
      </c>
      <c r="D101" t="inlineStr">
        <is>
          <t>Reorder List</t>
        </is>
      </c>
      <c r="E101" t="inlineStr">
        <is>
          <t>LeetCode</t>
        </is>
      </c>
      <c r="F101" s="13" t="inlineStr">
        <is>
          <t>https://leetcode.com/problems/reorder-list/</t>
        </is>
      </c>
      <c r="G101" t="inlineStr">
        <is>
          <t>Medium</t>
        </is>
      </c>
      <c r="H101" t="inlineStr">
        <is>
          <t>Split, reverse, merge</t>
        </is>
      </c>
      <c r="I101" t="inlineStr">
        <is>
          <t>Pointers/references, recursion</t>
        </is>
      </c>
      <c r="J101" t="inlineStr">
        <is>
          <t>Recommended</t>
        </is>
      </c>
    </row>
    <row r="102">
      <c r="A102" t="n">
        <v>101</v>
      </c>
      <c r="B102" t="n">
        <v>5</v>
      </c>
      <c r="C102" t="inlineStr">
        <is>
          <t>Linked lists</t>
        </is>
      </c>
      <c r="D102" t="inlineStr">
        <is>
          <t>LRU Cache</t>
        </is>
      </c>
      <c r="E102" t="inlineStr">
        <is>
          <t>LeetCode</t>
        </is>
      </c>
      <c r="F102" s="13" t="inlineStr">
        <is>
          <t>https://leetcode.com/problems/lru-cache/</t>
        </is>
      </c>
      <c r="G102" t="inlineStr">
        <is>
          <t>Medium</t>
        </is>
      </c>
      <c r="H102" t="inlineStr">
        <is>
          <t>Hash map + doubly linked list</t>
        </is>
      </c>
      <c r="I102" t="inlineStr">
        <is>
          <t>Pointers/references, recursion</t>
        </is>
      </c>
      <c r="J102" t="inlineStr">
        <is>
          <t>Essential</t>
        </is>
      </c>
    </row>
    <row r="103">
      <c r="A103" t="n">
        <v>102</v>
      </c>
      <c r="B103" t="n">
        <v>5</v>
      </c>
      <c r="C103" t="inlineStr">
        <is>
          <t>Linked lists</t>
        </is>
      </c>
      <c r="D103" t="inlineStr">
        <is>
          <t>Merge two sorted linked lists</t>
        </is>
      </c>
      <c r="E103" t="inlineStr">
        <is>
          <t>HackerRank</t>
        </is>
      </c>
      <c r="F103" s="13" t="inlineStr">
        <is>
          <t>https://www.hackerrank.com/challenges/merge-two-sorted-linked-lists/problem</t>
        </is>
      </c>
      <c r="G103" t="inlineStr">
        <is>
          <t>Easy</t>
        </is>
      </c>
      <c r="H103" t="inlineStr">
        <is>
          <t>Merge pattern (HackerRank variant)</t>
        </is>
      </c>
      <c r="I103" t="inlineStr">
        <is>
          <t>Pointers/references, recursion</t>
        </is>
      </c>
      <c r="J103" t="inlineStr">
        <is>
          <t>Optional</t>
        </is>
      </c>
    </row>
    <row r="104">
      <c r="A104" t="n">
        <v>103</v>
      </c>
      <c r="B104" t="n">
        <v>5</v>
      </c>
      <c r="C104" t="inlineStr">
        <is>
          <t>Stacks &amp; queues</t>
        </is>
      </c>
      <c r="D104" t="inlineStr">
        <is>
          <t>Valid Parentheses</t>
        </is>
      </c>
      <c r="E104" t="inlineStr">
        <is>
          <t>LeetCode</t>
        </is>
      </c>
      <c r="F104" s="13" t="inlineStr">
        <is>
          <t>https://leetcode.com/problems/valid-parentheses/</t>
        </is>
      </c>
      <c r="G104" t="inlineStr">
        <is>
          <t>Easy</t>
        </is>
      </c>
      <c r="H104" t="inlineStr">
        <is>
          <t>Stack matching</t>
        </is>
      </c>
      <c r="I104" t="inlineStr">
        <is>
          <t>Arrays, linked lists</t>
        </is>
      </c>
      <c r="J104" t="inlineStr">
        <is>
          <t>Essential</t>
        </is>
      </c>
    </row>
    <row r="105">
      <c r="A105" t="n">
        <v>104</v>
      </c>
      <c r="B105" t="n">
        <v>5</v>
      </c>
      <c r="C105" t="inlineStr">
        <is>
          <t>Stacks &amp; queues</t>
        </is>
      </c>
      <c r="D105" t="inlineStr">
        <is>
          <t>Min Stack</t>
        </is>
      </c>
      <c r="E105" t="inlineStr">
        <is>
          <t>LeetCode</t>
        </is>
      </c>
      <c r="F105" s="13" t="inlineStr">
        <is>
          <t>https://leetcode.com/problems/min-stack/</t>
        </is>
      </c>
      <c r="G105" t="inlineStr">
        <is>
          <t>Medium</t>
        </is>
      </c>
      <c r="H105" t="inlineStr">
        <is>
          <t>Auxiliary stack</t>
        </is>
      </c>
      <c r="I105" t="inlineStr">
        <is>
          <t>Arrays, linked lists</t>
        </is>
      </c>
      <c r="J105" t="inlineStr">
        <is>
          <t>Essential</t>
        </is>
      </c>
    </row>
    <row r="106">
      <c r="A106" t="n">
        <v>105</v>
      </c>
      <c r="B106" t="n">
        <v>5</v>
      </c>
      <c r="C106" t="inlineStr">
        <is>
          <t>Stacks &amp; queues</t>
        </is>
      </c>
      <c r="D106" t="inlineStr">
        <is>
          <t>Implement Queue using Stacks</t>
        </is>
      </c>
      <c r="E106" t="inlineStr">
        <is>
          <t>LeetCode</t>
        </is>
      </c>
      <c r="F106" s="13" t="inlineStr">
        <is>
          <t>https://leetcode.com/problems/implement-queue-using-stacks/</t>
        </is>
      </c>
      <c r="G106" t="inlineStr">
        <is>
          <t>Easy</t>
        </is>
      </c>
      <c r="H106" t="inlineStr">
        <is>
          <t>Two-stack queue</t>
        </is>
      </c>
      <c r="I106" t="inlineStr">
        <is>
          <t>Arrays, linked lists</t>
        </is>
      </c>
      <c r="J106" t="inlineStr">
        <is>
          <t>Recommended</t>
        </is>
      </c>
    </row>
    <row r="107">
      <c r="A107" t="n">
        <v>106</v>
      </c>
      <c r="B107" t="n">
        <v>5</v>
      </c>
      <c r="C107" t="inlineStr">
        <is>
          <t>Stacks &amp; queues</t>
        </is>
      </c>
      <c r="D107" t="inlineStr">
        <is>
          <t>Next Greater Element I</t>
        </is>
      </c>
      <c r="E107" t="inlineStr">
        <is>
          <t>LeetCode</t>
        </is>
      </c>
      <c r="F107" s="13" t="inlineStr">
        <is>
          <t>https://leetcode.com/problems/next-greater-element-i/</t>
        </is>
      </c>
      <c r="G107" t="inlineStr">
        <is>
          <t>Easy</t>
        </is>
      </c>
      <c r="H107" t="inlineStr">
        <is>
          <t>Monotonic stack</t>
        </is>
      </c>
      <c r="I107" t="inlineStr">
        <is>
          <t>Arrays, linked lists</t>
        </is>
      </c>
      <c r="J107" t="inlineStr">
        <is>
          <t>Recommended</t>
        </is>
      </c>
    </row>
    <row r="108">
      <c r="A108" t="n">
        <v>107</v>
      </c>
      <c r="B108" t="n">
        <v>5</v>
      </c>
      <c r="C108" t="inlineStr">
        <is>
          <t>Stacks &amp; queues</t>
        </is>
      </c>
      <c r="D108" t="inlineStr">
        <is>
          <t>Evaluate Reverse Polish Notation</t>
        </is>
      </c>
      <c r="E108" t="inlineStr">
        <is>
          <t>LeetCode</t>
        </is>
      </c>
      <c r="F108" s="13" t="inlineStr">
        <is>
          <t>https://leetcode.com/problems/evaluate-reverse-polish-notation/</t>
        </is>
      </c>
      <c r="G108" t="inlineStr">
        <is>
          <t>Medium</t>
        </is>
      </c>
      <c r="H108" t="inlineStr">
        <is>
          <t>Stack evaluation</t>
        </is>
      </c>
      <c r="I108" t="inlineStr">
        <is>
          <t>Arrays, linked lists</t>
        </is>
      </c>
      <c r="J108" t="inlineStr">
        <is>
          <t>Recommended</t>
        </is>
      </c>
    </row>
    <row r="109">
      <c r="A109" t="n">
        <v>108</v>
      </c>
      <c r="B109" t="n">
        <v>5</v>
      </c>
      <c r="C109" t="inlineStr">
        <is>
          <t>Stacks &amp; queues</t>
        </is>
      </c>
      <c r="D109" t="inlineStr">
        <is>
          <t>Daily Temperatures</t>
        </is>
      </c>
      <c r="E109" t="inlineStr">
        <is>
          <t>LeetCode</t>
        </is>
      </c>
      <c r="F109" s="13" t="inlineStr">
        <is>
          <t>https://leetcode.com/problems/daily-temperatures/</t>
        </is>
      </c>
      <c r="G109" t="inlineStr">
        <is>
          <t>Medium</t>
        </is>
      </c>
      <c r="H109" t="inlineStr">
        <is>
          <t>Monotonic stack</t>
        </is>
      </c>
      <c r="I109" t="inlineStr">
        <is>
          <t>Arrays, linked lists</t>
        </is>
      </c>
      <c r="J109" t="inlineStr">
        <is>
          <t>Essential</t>
        </is>
      </c>
    </row>
    <row r="110">
      <c r="A110" t="n">
        <v>109</v>
      </c>
      <c r="B110" t="n">
        <v>5</v>
      </c>
      <c r="C110" t="inlineStr">
        <is>
          <t>Stacks &amp; queues</t>
        </is>
      </c>
      <c r="D110" t="inlineStr">
        <is>
          <t>Largest Rectangle in Histogram</t>
        </is>
      </c>
      <c r="E110" t="inlineStr">
        <is>
          <t>LeetCode</t>
        </is>
      </c>
      <c r="F110" s="13" t="inlineStr">
        <is>
          <t>https://leetcode.com/problems/largest-rectangle-in-histogram/</t>
        </is>
      </c>
      <c r="G110" t="inlineStr">
        <is>
          <t>Hard</t>
        </is>
      </c>
      <c r="H110" t="inlineStr">
        <is>
          <t>Monotonic stack</t>
        </is>
      </c>
      <c r="I110" t="inlineStr">
        <is>
          <t>Arrays, linked lists</t>
        </is>
      </c>
      <c r="J110" t="inlineStr">
        <is>
          <t>Optional</t>
        </is>
      </c>
    </row>
    <row r="111">
      <c r="A111" t="n">
        <v>110</v>
      </c>
      <c r="B111" t="n">
        <v>5</v>
      </c>
      <c r="C111" t="inlineStr">
        <is>
          <t>Stacks &amp; queues</t>
        </is>
      </c>
      <c r="D111" t="inlineStr">
        <is>
          <t>Balanced Brackets</t>
        </is>
      </c>
      <c r="E111" t="inlineStr">
        <is>
          <t>HackerRank</t>
        </is>
      </c>
      <c r="F111" s="13" t="inlineStr">
        <is>
          <t>https://www.hackerrank.com/challenges/balanced-brackets/problem</t>
        </is>
      </c>
      <c r="G111" t="inlineStr">
        <is>
          <t>Medium</t>
        </is>
      </c>
      <c r="H111" t="inlineStr">
        <is>
          <t>Stack matching (HackerRank)</t>
        </is>
      </c>
      <c r="I111" t="inlineStr">
        <is>
          <t>Arrays, linked lists</t>
        </is>
      </c>
      <c r="J111" t="inlineStr">
        <is>
          <t>Optional</t>
        </is>
      </c>
    </row>
    <row r="112">
      <c r="A112" t="n">
        <v>111</v>
      </c>
      <c r="B112" t="n">
        <v>5</v>
      </c>
      <c r="C112" t="inlineStr">
        <is>
          <t>Stacks &amp; queues</t>
        </is>
      </c>
      <c r="D112" t="inlineStr">
        <is>
          <t>Queues: A Tale of Two Stacks</t>
        </is>
      </c>
      <c r="E112" t="inlineStr">
        <is>
          <t>HackerRank</t>
        </is>
      </c>
      <c r="F112" s="13" t="inlineStr">
        <is>
          <t>https://www.hackerrank.com/challenges/ctci-queue-using-two-stacks/problem</t>
        </is>
      </c>
      <c r="G112" t="inlineStr">
        <is>
          <t>Hard</t>
        </is>
      </c>
      <c r="H112" t="inlineStr">
        <is>
          <t>Queue via stacks</t>
        </is>
      </c>
      <c r="I112" t="inlineStr">
        <is>
          <t>Arrays, linked lists</t>
        </is>
      </c>
      <c r="J112" t="inlineStr">
        <is>
          <t>Optional</t>
        </is>
      </c>
    </row>
    <row r="113">
      <c r="A113" t="n">
        <v>112</v>
      </c>
      <c r="B113" t="n">
        <v>6</v>
      </c>
      <c r="C113" t="inlineStr">
        <is>
          <t>Trees &amp; binary search trees</t>
        </is>
      </c>
      <c r="D113" t="inlineStr">
        <is>
          <t>Maximum Depth of Binary Tree</t>
        </is>
      </c>
      <c r="E113" t="inlineStr">
        <is>
          <t>LeetCode</t>
        </is>
      </c>
      <c r="F113" s="13" t="inlineStr">
        <is>
          <t>https://leetcode.com/problems/maximum-depth-of-binary-tree/</t>
        </is>
      </c>
      <c r="G113" t="inlineStr">
        <is>
          <t>Easy</t>
        </is>
      </c>
      <c r="H113" t="inlineStr">
        <is>
          <t>DFS recursion</t>
        </is>
      </c>
      <c r="I113" t="inlineStr">
        <is>
          <t>Recursion, queues</t>
        </is>
      </c>
      <c r="J113" t="inlineStr">
        <is>
          <t>Essential</t>
        </is>
      </c>
    </row>
    <row r="114">
      <c r="A114" t="n">
        <v>113</v>
      </c>
      <c r="B114" t="n">
        <v>6</v>
      </c>
      <c r="C114" t="inlineStr">
        <is>
          <t>Trees &amp; binary search trees</t>
        </is>
      </c>
      <c r="D114" t="inlineStr">
        <is>
          <t>Invert Binary Tree</t>
        </is>
      </c>
      <c r="E114" t="inlineStr">
        <is>
          <t>LeetCode</t>
        </is>
      </c>
      <c r="F114" s="13" t="inlineStr">
        <is>
          <t>https://leetcode.com/problems/invert-binary-tree/</t>
        </is>
      </c>
      <c r="G114" t="inlineStr">
        <is>
          <t>Easy</t>
        </is>
      </c>
      <c r="H114" t="inlineStr">
        <is>
          <t>Recursive swap</t>
        </is>
      </c>
      <c r="I114" t="inlineStr">
        <is>
          <t>Recursion, queues</t>
        </is>
      </c>
      <c r="J114" t="inlineStr">
        <is>
          <t>Essential</t>
        </is>
      </c>
    </row>
    <row r="115">
      <c r="A115" t="n">
        <v>114</v>
      </c>
      <c r="B115" t="n">
        <v>6</v>
      </c>
      <c r="C115" t="inlineStr">
        <is>
          <t>Trees &amp; binary search trees</t>
        </is>
      </c>
      <c r="D115" t="inlineStr">
        <is>
          <t>Same Tree</t>
        </is>
      </c>
      <c r="E115" t="inlineStr">
        <is>
          <t>LeetCode</t>
        </is>
      </c>
      <c r="F115" s="13" t="inlineStr">
        <is>
          <t>https://leetcode.com/problems/same-tree/</t>
        </is>
      </c>
      <c r="G115" t="inlineStr">
        <is>
          <t>Easy</t>
        </is>
      </c>
      <c r="H115" t="inlineStr">
        <is>
          <t>Parallel traversal</t>
        </is>
      </c>
      <c r="I115" t="inlineStr">
        <is>
          <t>Recursion, queues</t>
        </is>
      </c>
      <c r="J115" t="inlineStr">
        <is>
          <t>Essential</t>
        </is>
      </c>
    </row>
    <row r="116">
      <c r="A116" t="n">
        <v>115</v>
      </c>
      <c r="B116" t="n">
        <v>6</v>
      </c>
      <c r="C116" t="inlineStr">
        <is>
          <t>Trees &amp; binary search trees</t>
        </is>
      </c>
      <c r="D116" t="inlineStr">
        <is>
          <t>Symmetric Tree</t>
        </is>
      </c>
      <c r="E116" t="inlineStr">
        <is>
          <t>LeetCode</t>
        </is>
      </c>
      <c r="F116" s="13" t="inlineStr">
        <is>
          <t>https://leetcode.com/problems/symmetric-tree/</t>
        </is>
      </c>
      <c r="G116" t="inlineStr">
        <is>
          <t>Easy</t>
        </is>
      </c>
      <c r="H116" t="inlineStr">
        <is>
          <t>Mirror recursion</t>
        </is>
      </c>
      <c r="I116" t="inlineStr">
        <is>
          <t>Recursion, queues</t>
        </is>
      </c>
      <c r="J116" t="inlineStr">
        <is>
          <t>Recommended</t>
        </is>
      </c>
    </row>
    <row r="117">
      <c r="A117" t="n">
        <v>116</v>
      </c>
      <c r="B117" t="n">
        <v>6</v>
      </c>
      <c r="C117" t="inlineStr">
        <is>
          <t>Trees &amp; binary search trees</t>
        </is>
      </c>
      <c r="D117" t="inlineStr">
        <is>
          <t>Binary Tree Inorder Traversal</t>
        </is>
      </c>
      <c r="E117" t="inlineStr">
        <is>
          <t>LeetCode</t>
        </is>
      </c>
      <c r="F117" s="13" t="inlineStr">
        <is>
          <t>https://leetcode.com/problems/binary-tree-inorder-traversal/</t>
        </is>
      </c>
      <c r="G117" t="inlineStr">
        <is>
          <t>Easy</t>
        </is>
      </c>
      <c r="H117" t="inlineStr">
        <is>
          <t>Recursive + iterative inorder</t>
        </is>
      </c>
      <c r="I117" t="inlineStr">
        <is>
          <t>Recursion, queues</t>
        </is>
      </c>
      <c r="J117" t="inlineStr">
        <is>
          <t>Essential</t>
        </is>
      </c>
    </row>
    <row r="118">
      <c r="A118" t="n">
        <v>117</v>
      </c>
      <c r="B118" t="n">
        <v>6</v>
      </c>
      <c r="C118" t="inlineStr">
        <is>
          <t>Trees &amp; binary search trees</t>
        </is>
      </c>
      <c r="D118" t="inlineStr">
        <is>
          <t>Binary Tree Level Order Traversal</t>
        </is>
      </c>
      <c r="E118" t="inlineStr">
        <is>
          <t>LeetCode</t>
        </is>
      </c>
      <c r="F118" s="13" t="inlineStr">
        <is>
          <t>https://leetcode.com/problems/binary-tree-level-order-traversal/</t>
        </is>
      </c>
      <c r="G118" t="inlineStr">
        <is>
          <t>Medium</t>
        </is>
      </c>
      <c r="H118" t="inlineStr">
        <is>
          <t>BFS by level</t>
        </is>
      </c>
      <c r="I118" t="inlineStr">
        <is>
          <t>Recursion, queues</t>
        </is>
      </c>
      <c r="J118" t="inlineStr">
        <is>
          <t>Essential</t>
        </is>
      </c>
    </row>
    <row r="119">
      <c r="A119" t="n">
        <v>118</v>
      </c>
      <c r="B119" t="n">
        <v>6</v>
      </c>
      <c r="C119" t="inlineStr">
        <is>
          <t>Trees &amp; binary search trees</t>
        </is>
      </c>
      <c r="D119" t="inlineStr">
        <is>
          <t>Subtree of Another Tree</t>
        </is>
      </c>
      <c r="E119" t="inlineStr">
        <is>
          <t>LeetCode</t>
        </is>
      </c>
      <c r="F119" s="13" t="inlineStr">
        <is>
          <t>https://leetcode.com/problems/subtree-of-another-tree/</t>
        </is>
      </c>
      <c r="G119" t="inlineStr">
        <is>
          <t>Easy</t>
        </is>
      </c>
      <c r="H119" t="inlineStr">
        <is>
          <t>Tree matching</t>
        </is>
      </c>
      <c r="I119" t="inlineStr">
        <is>
          <t>Recursion, queues</t>
        </is>
      </c>
      <c r="J119" t="inlineStr">
        <is>
          <t>Recommended</t>
        </is>
      </c>
    </row>
    <row r="120">
      <c r="A120" t="n">
        <v>119</v>
      </c>
      <c r="B120" t="n">
        <v>6</v>
      </c>
      <c r="C120" t="inlineStr">
        <is>
          <t>Trees &amp; binary search trees</t>
        </is>
      </c>
      <c r="D120" t="inlineStr">
        <is>
          <t>Diameter of Binary Tree</t>
        </is>
      </c>
      <c r="E120" t="inlineStr">
        <is>
          <t>LeetCode</t>
        </is>
      </c>
      <c r="F120" s="13" t="inlineStr">
        <is>
          <t>https://leetcode.com/problems/diameter-of-binary-tree/</t>
        </is>
      </c>
      <c r="G120" t="inlineStr">
        <is>
          <t>Easy</t>
        </is>
      </c>
      <c r="H120" t="inlineStr">
        <is>
          <t>Height + global max</t>
        </is>
      </c>
      <c r="I120" t="inlineStr">
        <is>
          <t>Recursion, queues</t>
        </is>
      </c>
      <c r="J120" t="inlineStr">
        <is>
          <t>Essential</t>
        </is>
      </c>
    </row>
    <row r="121">
      <c r="A121" t="n">
        <v>120</v>
      </c>
      <c r="B121" t="n">
        <v>6</v>
      </c>
      <c r="C121" t="inlineStr">
        <is>
          <t>Trees &amp; binary search trees</t>
        </is>
      </c>
      <c r="D121" t="inlineStr">
        <is>
          <t>Balanced Binary Tree</t>
        </is>
      </c>
      <c r="E121" t="inlineStr">
        <is>
          <t>LeetCode</t>
        </is>
      </c>
      <c r="F121" s="13" t="inlineStr">
        <is>
          <t>https://leetcode.com/problems/balanced-binary-tree/</t>
        </is>
      </c>
      <c r="G121" t="inlineStr">
        <is>
          <t>Easy</t>
        </is>
      </c>
      <c r="H121" t="inlineStr">
        <is>
          <t>Height with early exit</t>
        </is>
      </c>
      <c r="I121" t="inlineStr">
        <is>
          <t>Recursion, queues</t>
        </is>
      </c>
      <c r="J121" t="inlineStr">
        <is>
          <t>Recommended</t>
        </is>
      </c>
    </row>
    <row r="122">
      <c r="A122" t="n">
        <v>121</v>
      </c>
      <c r="B122" t="n">
        <v>6</v>
      </c>
      <c r="C122" t="inlineStr">
        <is>
          <t>Trees &amp; binary search trees</t>
        </is>
      </c>
      <c r="D122" t="inlineStr">
        <is>
          <t>Path Sum</t>
        </is>
      </c>
      <c r="E122" t="inlineStr">
        <is>
          <t>LeetCode</t>
        </is>
      </c>
      <c r="F122" s="13" t="inlineStr">
        <is>
          <t>https://leetcode.com/problems/path-sum/</t>
        </is>
      </c>
      <c r="G122" t="inlineStr">
        <is>
          <t>Easy</t>
        </is>
      </c>
      <c r="H122" t="inlineStr">
        <is>
          <t>Root-to-leaf DFS</t>
        </is>
      </c>
      <c r="I122" t="inlineStr">
        <is>
          <t>Recursion, queues</t>
        </is>
      </c>
      <c r="J122" t="inlineStr">
        <is>
          <t>Recommended</t>
        </is>
      </c>
    </row>
    <row r="123">
      <c r="A123" t="n">
        <v>122</v>
      </c>
      <c r="B123" t="n">
        <v>6</v>
      </c>
      <c r="C123" t="inlineStr">
        <is>
          <t>Trees &amp; binary search trees</t>
        </is>
      </c>
      <c r="D123" t="inlineStr">
        <is>
          <t>Binary Tree Right Side View</t>
        </is>
      </c>
      <c r="E123" t="inlineStr">
        <is>
          <t>LeetCode</t>
        </is>
      </c>
      <c r="F123" s="13" t="inlineStr">
        <is>
          <t>https://leetcode.com/problems/binary-tree-right-side-view/</t>
        </is>
      </c>
      <c r="G123" t="inlineStr">
        <is>
          <t>Medium</t>
        </is>
      </c>
      <c r="H123" t="inlineStr">
        <is>
          <t>BFS last node per level</t>
        </is>
      </c>
      <c r="I123" t="inlineStr">
        <is>
          <t>Recursion, queues</t>
        </is>
      </c>
      <c r="J123" t="inlineStr">
        <is>
          <t>Recommended</t>
        </is>
      </c>
    </row>
    <row r="124">
      <c r="A124" t="n">
        <v>123</v>
      </c>
      <c r="B124" t="n">
        <v>6</v>
      </c>
      <c r="C124" t="inlineStr">
        <is>
          <t>Trees &amp; binary search trees</t>
        </is>
      </c>
      <c r="D124" t="inlineStr">
        <is>
          <t>Lowest Common Ancestor of a Binary Search Tree</t>
        </is>
      </c>
      <c r="E124" t="inlineStr">
        <is>
          <t>LeetCode</t>
        </is>
      </c>
      <c r="F124" s="13" t="inlineStr">
        <is>
          <t>https://leetcode.com/problems/lowest-common-ancestor-of-a-binary-search-tree/</t>
        </is>
      </c>
      <c r="G124" t="inlineStr">
        <is>
          <t>Medium</t>
        </is>
      </c>
      <c r="H124" t="inlineStr">
        <is>
          <t>BST property</t>
        </is>
      </c>
      <c r="I124" t="inlineStr">
        <is>
          <t>Recursion, queues</t>
        </is>
      </c>
      <c r="J124" t="inlineStr">
        <is>
          <t>Essential</t>
        </is>
      </c>
    </row>
    <row r="125">
      <c r="A125" t="n">
        <v>124</v>
      </c>
      <c r="B125" t="n">
        <v>6</v>
      </c>
      <c r="C125" t="inlineStr">
        <is>
          <t>Trees &amp; binary search trees</t>
        </is>
      </c>
      <c r="D125" t="inlineStr">
        <is>
          <t>Lowest Common Ancestor of a Binary Tree</t>
        </is>
      </c>
      <c r="E125" t="inlineStr">
        <is>
          <t>LeetCode</t>
        </is>
      </c>
      <c r="F125" s="13" t="inlineStr">
        <is>
          <t>https://leetcode.com/problems/lowest-common-ancestor-of-a-binary-tree/</t>
        </is>
      </c>
      <c r="G125" t="inlineStr">
        <is>
          <t>Medium</t>
        </is>
      </c>
      <c r="H125" t="inlineStr">
        <is>
          <t>Postorder return values</t>
        </is>
      </c>
      <c r="I125" t="inlineStr">
        <is>
          <t>Recursion, queues</t>
        </is>
      </c>
      <c r="J125" t="inlineStr">
        <is>
          <t>Essential</t>
        </is>
      </c>
    </row>
    <row r="126">
      <c r="A126" t="n">
        <v>125</v>
      </c>
      <c r="B126" t="n">
        <v>6</v>
      </c>
      <c r="C126" t="inlineStr">
        <is>
          <t>Trees &amp; binary search trees</t>
        </is>
      </c>
      <c r="D126" t="inlineStr">
        <is>
          <t>Validate Binary Search Tree</t>
        </is>
      </c>
      <c r="E126" t="inlineStr">
        <is>
          <t>LeetCode</t>
        </is>
      </c>
      <c r="F126" s="13" t="inlineStr">
        <is>
          <t>https://leetcode.com/problems/validate-binary-search-tree/</t>
        </is>
      </c>
      <c r="G126" t="inlineStr">
        <is>
          <t>Medium</t>
        </is>
      </c>
      <c r="H126" t="inlineStr">
        <is>
          <t>Range bounds</t>
        </is>
      </c>
      <c r="I126" t="inlineStr">
        <is>
          <t>Recursion, queues</t>
        </is>
      </c>
      <c r="J126" t="inlineStr">
        <is>
          <t>Essential</t>
        </is>
      </c>
    </row>
    <row r="127">
      <c r="A127" t="n">
        <v>126</v>
      </c>
      <c r="B127" t="n">
        <v>6</v>
      </c>
      <c r="C127" t="inlineStr">
        <is>
          <t>Trees &amp; binary search trees</t>
        </is>
      </c>
      <c r="D127" t="inlineStr">
        <is>
          <t>Kth Smallest Element in a BST</t>
        </is>
      </c>
      <c r="E127" t="inlineStr">
        <is>
          <t>LeetCode</t>
        </is>
      </c>
      <c r="F127" s="13" t="inlineStr">
        <is>
          <t>https://leetcode.com/problems/kth-smallest-element-in-a-bst/</t>
        </is>
      </c>
      <c r="G127" t="inlineStr">
        <is>
          <t>Medium</t>
        </is>
      </c>
      <c r="H127" t="inlineStr">
        <is>
          <t>Inorder traversal</t>
        </is>
      </c>
      <c r="I127" t="inlineStr">
        <is>
          <t>Recursion, queues</t>
        </is>
      </c>
      <c r="J127" t="inlineStr">
        <is>
          <t>Essential</t>
        </is>
      </c>
    </row>
    <row r="128">
      <c r="A128" t="n">
        <v>127</v>
      </c>
      <c r="B128" t="n">
        <v>6</v>
      </c>
      <c r="C128" t="inlineStr">
        <is>
          <t>Trees &amp; binary search trees</t>
        </is>
      </c>
      <c r="D128" t="inlineStr">
        <is>
          <t>Convert Sorted Array to Binary Search Tree</t>
        </is>
      </c>
      <c r="E128" t="inlineStr">
        <is>
          <t>LeetCode</t>
        </is>
      </c>
      <c r="F128" s="13" t="inlineStr">
        <is>
          <t>https://leetcode.com/problems/convert-sorted-array-to-binary-search-tree/</t>
        </is>
      </c>
      <c r="G128" t="inlineStr">
        <is>
          <t>Easy</t>
        </is>
      </c>
      <c r="H128" t="inlineStr">
        <is>
          <t>Divide and conquer</t>
        </is>
      </c>
      <c r="I128" t="inlineStr">
        <is>
          <t>Recursion, queues</t>
        </is>
      </c>
      <c r="J128" t="inlineStr">
        <is>
          <t>Recommended</t>
        </is>
      </c>
    </row>
    <row r="129">
      <c r="A129" t="n">
        <v>128</v>
      </c>
      <c r="B129" t="n">
        <v>6</v>
      </c>
      <c r="C129" t="inlineStr">
        <is>
          <t>Trees &amp; binary search trees</t>
        </is>
      </c>
      <c r="D129" t="inlineStr">
        <is>
          <t>Construct Binary Tree from Preorder and Inorder Traversal</t>
        </is>
      </c>
      <c r="E129" t="inlineStr">
        <is>
          <t>LeetCode</t>
        </is>
      </c>
      <c r="F129" s="13" t="inlineStr">
        <is>
          <t>https://leetcode.com/problems/construct-binary-tree-from-preorder-and-inorder-traversal/</t>
        </is>
      </c>
      <c r="G129" t="inlineStr">
        <is>
          <t>Medium</t>
        </is>
      </c>
      <c r="H129" t="inlineStr">
        <is>
          <t>Tree reconstruction</t>
        </is>
      </c>
      <c r="I129" t="inlineStr">
        <is>
          <t>Recursion, queues</t>
        </is>
      </c>
      <c r="J129" t="inlineStr">
        <is>
          <t>Recommended</t>
        </is>
      </c>
    </row>
    <row r="130">
      <c r="A130" t="n">
        <v>129</v>
      </c>
      <c r="B130" t="n">
        <v>6</v>
      </c>
      <c r="C130" t="inlineStr">
        <is>
          <t>Trees &amp; binary search trees</t>
        </is>
      </c>
      <c r="D130" t="inlineStr">
        <is>
          <t>Binary Tree Maximum Path Sum</t>
        </is>
      </c>
      <c r="E130" t="inlineStr">
        <is>
          <t>LeetCode</t>
        </is>
      </c>
      <c r="F130" s="13" t="inlineStr">
        <is>
          <t>https://leetcode.com/problems/binary-tree-maximum-path-sum/</t>
        </is>
      </c>
      <c r="G130" t="inlineStr">
        <is>
          <t>Hard</t>
        </is>
      </c>
      <c r="H130" t="inlineStr">
        <is>
          <t>Postorder gain tracking</t>
        </is>
      </c>
      <c r="I130" t="inlineStr">
        <is>
          <t>Recursion, queues</t>
        </is>
      </c>
      <c r="J130" t="inlineStr">
        <is>
          <t>Optional</t>
        </is>
      </c>
    </row>
    <row r="131">
      <c r="A131" t="n">
        <v>130</v>
      </c>
      <c r="B131" t="n">
        <v>7</v>
      </c>
      <c r="C131" t="inlineStr">
        <is>
          <t>Heaps &amp; priority queues</t>
        </is>
      </c>
      <c r="D131" t="inlineStr">
        <is>
          <t>Last Stone Weight</t>
        </is>
      </c>
      <c r="E131" t="inlineStr">
        <is>
          <t>LeetCode</t>
        </is>
      </c>
      <c r="F131" s="13" t="inlineStr">
        <is>
          <t>https://leetcode.com/problems/last-stone-weight/</t>
        </is>
      </c>
      <c r="G131" t="inlineStr">
        <is>
          <t>Easy</t>
        </is>
      </c>
      <c r="H131" t="inlineStr">
        <is>
          <t>Max-heap simulation</t>
        </is>
      </c>
      <c r="I131" t="inlineStr">
        <is>
          <t>Trees, sorting</t>
        </is>
      </c>
      <c r="J131" t="inlineStr">
        <is>
          <t>Essential</t>
        </is>
      </c>
    </row>
    <row r="132">
      <c r="A132" t="n">
        <v>131</v>
      </c>
      <c r="B132" t="n">
        <v>7</v>
      </c>
      <c r="C132" t="inlineStr">
        <is>
          <t>Heaps &amp; priority queues</t>
        </is>
      </c>
      <c r="D132" t="inlineStr">
        <is>
          <t>Kth Largest Element in a Stream</t>
        </is>
      </c>
      <c r="E132" t="inlineStr">
        <is>
          <t>LeetCode</t>
        </is>
      </c>
      <c r="F132" s="13" t="inlineStr">
        <is>
          <t>https://leetcode.com/problems/kth-largest-element-in-a-stream/</t>
        </is>
      </c>
      <c r="G132" t="inlineStr">
        <is>
          <t>Easy</t>
        </is>
      </c>
      <c r="H132" t="inlineStr">
        <is>
          <t>Size-k min-heap</t>
        </is>
      </c>
      <c r="I132" t="inlineStr">
        <is>
          <t>Trees, sorting</t>
        </is>
      </c>
      <c r="J132" t="inlineStr">
        <is>
          <t>Essential</t>
        </is>
      </c>
    </row>
    <row r="133">
      <c r="A133" t="n">
        <v>132</v>
      </c>
      <c r="B133" t="n">
        <v>7</v>
      </c>
      <c r="C133" t="inlineStr">
        <is>
          <t>Heaps &amp; priority queues</t>
        </is>
      </c>
      <c r="D133" t="inlineStr">
        <is>
          <t>K Closest Points to Origin</t>
        </is>
      </c>
      <c r="E133" t="inlineStr">
        <is>
          <t>LeetCode</t>
        </is>
      </c>
      <c r="F133" s="13" t="inlineStr">
        <is>
          <t>https://leetcode.com/problems/k-closest-points-to-origin/</t>
        </is>
      </c>
      <c r="G133" t="inlineStr">
        <is>
          <t>Medium</t>
        </is>
      </c>
      <c r="H133" t="inlineStr">
        <is>
          <t>Heap with custom key</t>
        </is>
      </c>
      <c r="I133" t="inlineStr">
        <is>
          <t>Trees, sorting</t>
        </is>
      </c>
      <c r="J133" t="inlineStr">
        <is>
          <t>Essential</t>
        </is>
      </c>
    </row>
    <row r="134">
      <c r="A134" t="n">
        <v>133</v>
      </c>
      <c r="B134" t="n">
        <v>7</v>
      </c>
      <c r="C134" t="inlineStr">
        <is>
          <t>Heaps &amp; priority queues</t>
        </is>
      </c>
      <c r="D134" t="inlineStr">
        <is>
          <t>Task Scheduler</t>
        </is>
      </c>
      <c r="E134" t="inlineStr">
        <is>
          <t>LeetCode</t>
        </is>
      </c>
      <c r="F134" s="13" t="inlineStr">
        <is>
          <t>https://leetcode.com/problems/task-scheduler/</t>
        </is>
      </c>
      <c r="G134" t="inlineStr">
        <is>
          <t>Medium</t>
        </is>
      </c>
      <c r="H134" t="inlineStr">
        <is>
          <t>Greedy + counting / heap</t>
        </is>
      </c>
      <c r="I134" t="inlineStr">
        <is>
          <t>Trees, sorting</t>
        </is>
      </c>
      <c r="J134" t="inlineStr">
        <is>
          <t>Recommended</t>
        </is>
      </c>
    </row>
    <row r="135">
      <c r="A135" t="n">
        <v>134</v>
      </c>
      <c r="B135" t="n">
        <v>7</v>
      </c>
      <c r="C135" t="inlineStr">
        <is>
          <t>Heaps &amp; priority queues</t>
        </is>
      </c>
      <c r="D135" t="inlineStr">
        <is>
          <t>Merge k Sorted Lists</t>
        </is>
      </c>
      <c r="E135" t="inlineStr">
        <is>
          <t>LeetCode</t>
        </is>
      </c>
      <c r="F135" s="13" t="inlineStr">
        <is>
          <t>https://leetcode.com/problems/merge-k-sorted-lists/</t>
        </is>
      </c>
      <c r="G135" t="inlineStr">
        <is>
          <t>Hard</t>
        </is>
      </c>
      <c r="H135" t="inlineStr">
        <is>
          <t>Heap of list heads</t>
        </is>
      </c>
      <c r="I135" t="inlineStr">
        <is>
          <t>Trees, sorting</t>
        </is>
      </c>
      <c r="J135" t="inlineStr">
        <is>
          <t>Recommended</t>
        </is>
      </c>
    </row>
    <row r="136">
      <c r="A136" t="n">
        <v>135</v>
      </c>
      <c r="B136" t="n">
        <v>7</v>
      </c>
      <c r="C136" t="inlineStr">
        <is>
          <t>Heaps &amp; priority queues</t>
        </is>
      </c>
      <c r="D136" t="inlineStr">
        <is>
          <t>Find Median from Data Stream</t>
        </is>
      </c>
      <c r="E136" t="inlineStr">
        <is>
          <t>LeetCode</t>
        </is>
      </c>
      <c r="F136" s="13" t="inlineStr">
        <is>
          <t>https://leetcode.com/problems/find-median-from-data-stream/</t>
        </is>
      </c>
      <c r="G136" t="inlineStr">
        <is>
          <t>Hard</t>
        </is>
      </c>
      <c r="H136" t="inlineStr">
        <is>
          <t>Two heaps</t>
        </is>
      </c>
      <c r="I136" t="inlineStr">
        <is>
          <t>Trees, sorting</t>
        </is>
      </c>
      <c r="J136" t="inlineStr">
        <is>
          <t>Recommended</t>
        </is>
      </c>
    </row>
    <row r="137">
      <c r="A137" t="n">
        <v>136</v>
      </c>
      <c r="B137" t="n">
        <v>7</v>
      </c>
      <c r="C137" t="inlineStr">
        <is>
          <t>Heaps &amp; priority queues</t>
        </is>
      </c>
      <c r="D137" t="inlineStr">
        <is>
          <t>Jesse and Cookies</t>
        </is>
      </c>
      <c r="E137" t="inlineStr">
        <is>
          <t>HackerRank</t>
        </is>
      </c>
      <c r="F137" s="13" t="inlineStr">
        <is>
          <t>https://www.hackerrank.com/challenges/jesse-and-cookies/problem</t>
        </is>
      </c>
      <c r="G137" t="inlineStr">
        <is>
          <t>Easy</t>
        </is>
      </c>
      <c r="H137" t="inlineStr">
        <is>
          <t>Min-heap simulation</t>
        </is>
      </c>
      <c r="I137" t="inlineStr">
        <is>
          <t>Trees, sorting</t>
        </is>
      </c>
      <c r="J137" t="inlineStr">
        <is>
          <t>Optional</t>
        </is>
      </c>
    </row>
    <row r="138">
      <c r="A138" t="n">
        <v>137</v>
      </c>
      <c r="B138" t="n">
        <v>7</v>
      </c>
      <c r="C138" t="inlineStr">
        <is>
          <t>Greedy algorithms &amp; intervals</t>
        </is>
      </c>
      <c r="D138" t="inlineStr">
        <is>
          <t>Assign Cookies</t>
        </is>
      </c>
      <c r="E138" t="inlineStr">
        <is>
          <t>LeetCode</t>
        </is>
      </c>
      <c r="F138" s="13" t="inlineStr">
        <is>
          <t>https://leetcode.com/problems/assign-cookies/</t>
        </is>
      </c>
      <c r="G138" t="inlineStr">
        <is>
          <t>Easy</t>
        </is>
      </c>
      <c r="H138" t="inlineStr">
        <is>
          <t>Sort + greedy match</t>
        </is>
      </c>
      <c r="I138" t="inlineStr">
        <is>
          <t>Sorting</t>
        </is>
      </c>
      <c r="J138" t="inlineStr">
        <is>
          <t>Essential</t>
        </is>
      </c>
    </row>
    <row r="139">
      <c r="A139" t="n">
        <v>138</v>
      </c>
      <c r="B139" t="n">
        <v>7</v>
      </c>
      <c r="C139" t="inlineStr">
        <is>
          <t>Greedy algorithms &amp; intervals</t>
        </is>
      </c>
      <c r="D139" t="inlineStr">
        <is>
          <t>Jump Game</t>
        </is>
      </c>
      <c r="E139" t="inlineStr">
        <is>
          <t>LeetCode</t>
        </is>
      </c>
      <c r="F139" s="13" t="inlineStr">
        <is>
          <t>https://leetcode.com/problems/jump-game/</t>
        </is>
      </c>
      <c r="G139" t="inlineStr">
        <is>
          <t>Medium</t>
        </is>
      </c>
      <c r="H139" t="inlineStr">
        <is>
          <t>Reachability greedy</t>
        </is>
      </c>
      <c r="I139" t="inlineStr">
        <is>
          <t>Sorting</t>
        </is>
      </c>
      <c r="J139" t="inlineStr">
        <is>
          <t>Essential</t>
        </is>
      </c>
    </row>
    <row r="140">
      <c r="A140" t="n">
        <v>139</v>
      </c>
      <c r="B140" t="n">
        <v>7</v>
      </c>
      <c r="C140" t="inlineStr">
        <is>
          <t>Greedy algorithms &amp; intervals</t>
        </is>
      </c>
      <c r="D140" t="inlineStr">
        <is>
          <t>Jump Game II</t>
        </is>
      </c>
      <c r="E140" t="inlineStr">
        <is>
          <t>LeetCode</t>
        </is>
      </c>
      <c r="F140" s="13" t="inlineStr">
        <is>
          <t>https://leetcode.com/problems/jump-game-ii/</t>
        </is>
      </c>
      <c r="G140" t="inlineStr">
        <is>
          <t>Medium</t>
        </is>
      </c>
      <c r="H140" t="inlineStr">
        <is>
          <t>Greedy BFS levels</t>
        </is>
      </c>
      <c r="I140" t="inlineStr">
        <is>
          <t>Sorting</t>
        </is>
      </c>
      <c r="J140" t="inlineStr">
        <is>
          <t>Recommended</t>
        </is>
      </c>
    </row>
    <row r="141">
      <c r="A141" t="n">
        <v>140</v>
      </c>
      <c r="B141" t="n">
        <v>7</v>
      </c>
      <c r="C141" t="inlineStr">
        <is>
          <t>Greedy algorithms &amp; intervals</t>
        </is>
      </c>
      <c r="D141" t="inlineStr">
        <is>
          <t>Gas Station</t>
        </is>
      </c>
      <c r="E141" t="inlineStr">
        <is>
          <t>LeetCode</t>
        </is>
      </c>
      <c r="F141" s="13" t="inlineStr">
        <is>
          <t>https://leetcode.com/problems/gas-station/</t>
        </is>
      </c>
      <c r="G141" t="inlineStr">
        <is>
          <t>Medium</t>
        </is>
      </c>
      <c r="H141" t="inlineStr">
        <is>
          <t>Running-surplus greedy</t>
        </is>
      </c>
      <c r="I141" t="inlineStr">
        <is>
          <t>Sorting</t>
        </is>
      </c>
      <c r="J141" t="inlineStr">
        <is>
          <t>Recommended</t>
        </is>
      </c>
    </row>
    <row r="142">
      <c r="A142" t="n">
        <v>141</v>
      </c>
      <c r="B142" t="n">
        <v>7</v>
      </c>
      <c r="C142" t="inlineStr">
        <is>
          <t>Greedy algorithms &amp; intervals</t>
        </is>
      </c>
      <c r="D142" t="inlineStr">
        <is>
          <t>Non-overlapping Intervals</t>
        </is>
      </c>
      <c r="E142" t="inlineStr">
        <is>
          <t>LeetCode</t>
        </is>
      </c>
      <c r="F142" s="13" t="inlineStr">
        <is>
          <t>https://leetcode.com/problems/non-overlapping-intervals/</t>
        </is>
      </c>
      <c r="G142" t="inlineStr">
        <is>
          <t>Medium</t>
        </is>
      </c>
      <c r="H142" t="inlineStr">
        <is>
          <t>Sort by end</t>
        </is>
      </c>
      <c r="I142" t="inlineStr">
        <is>
          <t>Sorting</t>
        </is>
      </c>
      <c r="J142" t="inlineStr">
        <is>
          <t>Essential</t>
        </is>
      </c>
    </row>
    <row r="143">
      <c r="A143" t="n">
        <v>142</v>
      </c>
      <c r="B143" t="n">
        <v>7</v>
      </c>
      <c r="C143" t="inlineStr">
        <is>
          <t>Greedy algorithms &amp; intervals</t>
        </is>
      </c>
      <c r="D143" t="inlineStr">
        <is>
          <t>Partition Labels</t>
        </is>
      </c>
      <c r="E143" t="inlineStr">
        <is>
          <t>LeetCode</t>
        </is>
      </c>
      <c r="F143" s="13" t="inlineStr">
        <is>
          <t>https://leetcode.com/problems/partition-labels/</t>
        </is>
      </c>
      <c r="G143" t="inlineStr">
        <is>
          <t>Medium</t>
        </is>
      </c>
      <c r="H143" t="inlineStr">
        <is>
          <t>Last occurrence greedy</t>
        </is>
      </c>
      <c r="I143" t="inlineStr">
        <is>
          <t>Sorting</t>
        </is>
      </c>
      <c r="J143" t="inlineStr">
        <is>
          <t>Recommended</t>
        </is>
      </c>
    </row>
    <row r="144">
      <c r="A144" t="n">
        <v>143</v>
      </c>
      <c r="B144" t="n">
        <v>7</v>
      </c>
      <c r="C144" t="inlineStr">
        <is>
          <t>Greedy algorithms &amp; intervals</t>
        </is>
      </c>
      <c r="D144" t="inlineStr">
        <is>
          <t>Climbing the Leaderboard</t>
        </is>
      </c>
      <c r="E144" t="inlineStr">
        <is>
          <t>HackerRank</t>
        </is>
      </c>
      <c r="F144" s="13" t="inlineStr">
        <is>
          <t>https://www.hackerrank.com/challenges/climbing-the-leaderboard/problem</t>
        </is>
      </c>
      <c r="G144" t="inlineStr">
        <is>
          <t>Medium</t>
        </is>
      </c>
      <c r="H144" t="inlineStr">
        <is>
          <t>Dedupe + binary search/pointer</t>
        </is>
      </c>
      <c r="I144" t="inlineStr">
        <is>
          <t>Sorting</t>
        </is>
      </c>
      <c r="J144" t="inlineStr">
        <is>
          <t>Optional</t>
        </is>
      </c>
    </row>
    <row r="145">
      <c r="A145" t="n">
        <v>144</v>
      </c>
      <c r="B145" t="n">
        <v>8</v>
      </c>
      <c r="C145" t="inlineStr">
        <is>
          <t>Graphs: BFS, DFS &amp; shortest paths</t>
        </is>
      </c>
      <c r="D145" t="inlineStr">
        <is>
          <t>Flood Fill</t>
        </is>
      </c>
      <c r="E145" t="inlineStr">
        <is>
          <t>LeetCode</t>
        </is>
      </c>
      <c r="F145" s="13" t="inlineStr">
        <is>
          <t>https://leetcode.com/problems/flood-fill/</t>
        </is>
      </c>
      <c r="G145" t="inlineStr">
        <is>
          <t>Easy</t>
        </is>
      </c>
      <c r="H145" t="inlineStr">
        <is>
          <t>Grid DFS/BFS</t>
        </is>
      </c>
      <c r="I145" t="inlineStr">
        <is>
          <t>Trees, queues, hashing</t>
        </is>
      </c>
      <c r="J145" t="inlineStr">
        <is>
          <t>Essential</t>
        </is>
      </c>
    </row>
    <row r="146">
      <c r="A146" t="n">
        <v>145</v>
      </c>
      <c r="B146" t="n">
        <v>8</v>
      </c>
      <c r="C146" t="inlineStr">
        <is>
          <t>Graphs: BFS, DFS &amp; shortest paths</t>
        </is>
      </c>
      <c r="D146" t="inlineStr">
        <is>
          <t>Find if Path Exists in Graph</t>
        </is>
      </c>
      <c r="E146" t="inlineStr">
        <is>
          <t>LeetCode</t>
        </is>
      </c>
      <c r="F146" s="13" t="inlineStr">
        <is>
          <t>https://leetcode.com/problems/find-if-path-exists-in-graph/</t>
        </is>
      </c>
      <c r="G146" t="inlineStr">
        <is>
          <t>Easy</t>
        </is>
      </c>
      <c r="H146" t="inlineStr">
        <is>
          <t>Graph traversal / union-find</t>
        </is>
      </c>
      <c r="I146" t="inlineStr">
        <is>
          <t>Trees, queues, hashing</t>
        </is>
      </c>
      <c r="J146" t="inlineStr">
        <is>
          <t>Recommended</t>
        </is>
      </c>
    </row>
    <row r="147">
      <c r="A147" t="n">
        <v>146</v>
      </c>
      <c r="B147" t="n">
        <v>8</v>
      </c>
      <c r="C147" t="inlineStr">
        <is>
          <t>Graphs: BFS, DFS &amp; shortest paths</t>
        </is>
      </c>
      <c r="D147" t="inlineStr">
        <is>
          <t>Number of Islands</t>
        </is>
      </c>
      <c r="E147" t="inlineStr">
        <is>
          <t>LeetCode</t>
        </is>
      </c>
      <c r="F147" s="13" t="inlineStr">
        <is>
          <t>https://leetcode.com/problems/number-of-islands/</t>
        </is>
      </c>
      <c r="G147" t="inlineStr">
        <is>
          <t>Medium</t>
        </is>
      </c>
      <c r="H147" t="inlineStr">
        <is>
          <t>Connected components on grid</t>
        </is>
      </c>
      <c r="I147" t="inlineStr">
        <is>
          <t>Trees, queues, hashing</t>
        </is>
      </c>
      <c r="J147" t="inlineStr">
        <is>
          <t>Essential</t>
        </is>
      </c>
    </row>
    <row r="148">
      <c r="A148" t="n">
        <v>147</v>
      </c>
      <c r="B148" t="n">
        <v>8</v>
      </c>
      <c r="C148" t="inlineStr">
        <is>
          <t>Graphs: BFS, DFS &amp; shortest paths</t>
        </is>
      </c>
      <c r="D148" t="inlineStr">
        <is>
          <t>Max Area of Island</t>
        </is>
      </c>
      <c r="E148" t="inlineStr">
        <is>
          <t>LeetCode</t>
        </is>
      </c>
      <c r="F148" s="13" t="inlineStr">
        <is>
          <t>https://leetcode.com/problems/max-area-of-island/</t>
        </is>
      </c>
      <c r="G148" t="inlineStr">
        <is>
          <t>Medium</t>
        </is>
      </c>
      <c r="H148" t="inlineStr">
        <is>
          <t>DFS with counting</t>
        </is>
      </c>
      <c r="I148" t="inlineStr">
        <is>
          <t>Trees, queues, hashing</t>
        </is>
      </c>
      <c r="J148" t="inlineStr">
        <is>
          <t>Recommended</t>
        </is>
      </c>
    </row>
    <row r="149">
      <c r="A149" t="n">
        <v>148</v>
      </c>
      <c r="B149" t="n">
        <v>8</v>
      </c>
      <c r="C149" t="inlineStr">
        <is>
          <t>Graphs: BFS, DFS &amp; shortest paths</t>
        </is>
      </c>
      <c r="D149" t="inlineStr">
        <is>
          <t>Number of Provinces</t>
        </is>
      </c>
      <c r="E149" t="inlineStr">
        <is>
          <t>LeetCode</t>
        </is>
      </c>
      <c r="F149" s="13" t="inlineStr">
        <is>
          <t>https://leetcode.com/problems/number-of-provinces/</t>
        </is>
      </c>
      <c r="G149" t="inlineStr">
        <is>
          <t>Medium</t>
        </is>
      </c>
      <c r="H149" t="inlineStr">
        <is>
          <t>Components on adjacency matrix</t>
        </is>
      </c>
      <c r="I149" t="inlineStr">
        <is>
          <t>Trees, queues, hashing</t>
        </is>
      </c>
      <c r="J149" t="inlineStr">
        <is>
          <t>Recommended</t>
        </is>
      </c>
    </row>
    <row r="150">
      <c r="A150" t="n">
        <v>149</v>
      </c>
      <c r="B150" t="n">
        <v>8</v>
      </c>
      <c r="C150" t="inlineStr">
        <is>
          <t>Graphs: BFS, DFS &amp; shortest paths</t>
        </is>
      </c>
      <c r="D150" t="inlineStr">
        <is>
          <t>Clone Graph</t>
        </is>
      </c>
      <c r="E150" t="inlineStr">
        <is>
          <t>LeetCode</t>
        </is>
      </c>
      <c r="F150" s="13" t="inlineStr">
        <is>
          <t>https://leetcode.com/problems/clone-graph/</t>
        </is>
      </c>
      <c r="G150" t="inlineStr">
        <is>
          <t>Medium</t>
        </is>
      </c>
      <c r="H150" t="inlineStr">
        <is>
          <t>Graph traversal with map</t>
        </is>
      </c>
      <c r="I150" t="inlineStr">
        <is>
          <t>Trees, queues, hashing</t>
        </is>
      </c>
      <c r="J150" t="inlineStr">
        <is>
          <t>Essential</t>
        </is>
      </c>
    </row>
    <row r="151">
      <c r="A151" t="n">
        <v>150</v>
      </c>
      <c r="B151" t="n">
        <v>8</v>
      </c>
      <c r="C151" t="inlineStr">
        <is>
          <t>Graphs: BFS, DFS &amp; shortest paths</t>
        </is>
      </c>
      <c r="D151" t="inlineStr">
        <is>
          <t>Rotting Oranges</t>
        </is>
      </c>
      <c r="E151" t="inlineStr">
        <is>
          <t>LeetCode</t>
        </is>
      </c>
      <c r="F151" s="13" t="inlineStr">
        <is>
          <t>https://leetcode.com/problems/rotting-oranges/</t>
        </is>
      </c>
      <c r="G151" t="inlineStr">
        <is>
          <t>Medium</t>
        </is>
      </c>
      <c r="H151" t="inlineStr">
        <is>
          <t>Multi-source BFS</t>
        </is>
      </c>
      <c r="I151" t="inlineStr">
        <is>
          <t>Trees, queues, hashing</t>
        </is>
      </c>
      <c r="J151" t="inlineStr">
        <is>
          <t>Essential</t>
        </is>
      </c>
    </row>
    <row r="152">
      <c r="A152" t="n">
        <v>151</v>
      </c>
      <c r="B152" t="n">
        <v>8</v>
      </c>
      <c r="C152" t="inlineStr">
        <is>
          <t>Graphs: BFS, DFS &amp; shortest paths</t>
        </is>
      </c>
      <c r="D152" t="inlineStr">
        <is>
          <t>Pacific Atlantic Water Flow</t>
        </is>
      </c>
      <c r="E152" t="inlineStr">
        <is>
          <t>LeetCode</t>
        </is>
      </c>
      <c r="F152" s="13" t="inlineStr">
        <is>
          <t>https://leetcode.com/problems/pacific-atlantic-water-flow/</t>
        </is>
      </c>
      <c r="G152" t="inlineStr">
        <is>
          <t>Medium</t>
        </is>
      </c>
      <c r="H152" t="inlineStr">
        <is>
          <t>Reverse multi-source DFS</t>
        </is>
      </c>
      <c r="I152" t="inlineStr">
        <is>
          <t>Trees, queues, hashing</t>
        </is>
      </c>
      <c r="J152" t="inlineStr">
        <is>
          <t>Optional</t>
        </is>
      </c>
    </row>
    <row r="153">
      <c r="A153" t="n">
        <v>152</v>
      </c>
      <c r="B153" t="n">
        <v>8</v>
      </c>
      <c r="C153" t="inlineStr">
        <is>
          <t>Graphs: BFS, DFS &amp; shortest paths</t>
        </is>
      </c>
      <c r="D153" t="inlineStr">
        <is>
          <t>Surrounded Regions</t>
        </is>
      </c>
      <c r="E153" t="inlineStr">
        <is>
          <t>LeetCode</t>
        </is>
      </c>
      <c r="F153" s="13" t="inlineStr">
        <is>
          <t>https://leetcode.com/problems/surrounded-regions/</t>
        </is>
      </c>
      <c r="G153" t="inlineStr">
        <is>
          <t>Medium</t>
        </is>
      </c>
      <c r="H153" t="inlineStr">
        <is>
          <t>Border DFS</t>
        </is>
      </c>
      <c r="I153" t="inlineStr">
        <is>
          <t>Trees, queues, hashing</t>
        </is>
      </c>
      <c r="J153" t="inlineStr">
        <is>
          <t>Optional</t>
        </is>
      </c>
    </row>
    <row r="154">
      <c r="A154" t="n">
        <v>153</v>
      </c>
      <c r="B154" t="n">
        <v>8</v>
      </c>
      <c r="C154" t="inlineStr">
        <is>
          <t>Graphs: BFS, DFS &amp; shortest paths</t>
        </is>
      </c>
      <c r="D154" t="inlineStr">
        <is>
          <t>Course Schedule</t>
        </is>
      </c>
      <c r="E154" t="inlineStr">
        <is>
          <t>LeetCode</t>
        </is>
      </c>
      <c r="F154" s="13" t="inlineStr">
        <is>
          <t>https://leetcode.com/problems/course-schedule/</t>
        </is>
      </c>
      <c r="G154" t="inlineStr">
        <is>
          <t>Medium</t>
        </is>
      </c>
      <c r="H154" t="inlineStr">
        <is>
          <t>Cycle detection / topo sort</t>
        </is>
      </c>
      <c r="I154" t="inlineStr">
        <is>
          <t>Trees, queues, hashing</t>
        </is>
      </c>
      <c r="J154" t="inlineStr">
        <is>
          <t>Essential</t>
        </is>
      </c>
    </row>
    <row r="155">
      <c r="A155" t="n">
        <v>154</v>
      </c>
      <c r="B155" t="n">
        <v>8</v>
      </c>
      <c r="C155" t="inlineStr">
        <is>
          <t>Graphs: BFS, DFS &amp; shortest paths</t>
        </is>
      </c>
      <c r="D155" t="inlineStr">
        <is>
          <t>Course Schedule II</t>
        </is>
      </c>
      <c r="E155" t="inlineStr">
        <is>
          <t>LeetCode</t>
        </is>
      </c>
      <c r="F155" s="13" t="inlineStr">
        <is>
          <t>https://leetcode.com/problems/course-schedule-ii/</t>
        </is>
      </c>
      <c r="G155" t="inlineStr">
        <is>
          <t>Medium</t>
        </is>
      </c>
      <c r="H155" t="inlineStr">
        <is>
          <t>Topological ordering</t>
        </is>
      </c>
      <c r="I155" t="inlineStr">
        <is>
          <t>Trees, queues, hashing</t>
        </is>
      </c>
      <c r="J155" t="inlineStr">
        <is>
          <t>Essential</t>
        </is>
      </c>
    </row>
    <row r="156">
      <c r="A156" t="n">
        <v>155</v>
      </c>
      <c r="B156" t="n">
        <v>8</v>
      </c>
      <c r="C156" t="inlineStr">
        <is>
          <t>Graphs: BFS, DFS &amp; shortest paths</t>
        </is>
      </c>
      <c r="D156" t="inlineStr">
        <is>
          <t>Is Graph Bipartite?</t>
        </is>
      </c>
      <c r="E156" t="inlineStr">
        <is>
          <t>LeetCode</t>
        </is>
      </c>
      <c r="F156" s="13" t="inlineStr">
        <is>
          <t>https://leetcode.com/problems/is-graph-bipartite/</t>
        </is>
      </c>
      <c r="G156" t="inlineStr">
        <is>
          <t>Medium</t>
        </is>
      </c>
      <c r="H156" t="inlineStr">
        <is>
          <t>BFS/DFS colouring</t>
        </is>
      </c>
      <c r="I156" t="inlineStr">
        <is>
          <t>Trees, queues, hashing</t>
        </is>
      </c>
      <c r="J156" t="inlineStr">
        <is>
          <t>Recommended</t>
        </is>
      </c>
    </row>
    <row r="157">
      <c r="A157" t="n">
        <v>156</v>
      </c>
      <c r="B157" t="n">
        <v>8</v>
      </c>
      <c r="C157" t="inlineStr">
        <is>
          <t>Graphs: BFS, DFS &amp; shortest paths</t>
        </is>
      </c>
      <c r="D157" t="inlineStr">
        <is>
          <t>Word Ladder</t>
        </is>
      </c>
      <c r="E157" t="inlineStr">
        <is>
          <t>LeetCode</t>
        </is>
      </c>
      <c r="F157" s="13" t="inlineStr">
        <is>
          <t>https://leetcode.com/problems/word-ladder/</t>
        </is>
      </c>
      <c r="G157" t="inlineStr">
        <is>
          <t>Hard</t>
        </is>
      </c>
      <c r="H157" t="inlineStr">
        <is>
          <t>BFS on implicit graph</t>
        </is>
      </c>
      <c r="I157" t="inlineStr">
        <is>
          <t>Trees, queues, hashing</t>
        </is>
      </c>
      <c r="J157" t="inlineStr">
        <is>
          <t>Recommended</t>
        </is>
      </c>
    </row>
    <row r="158">
      <c r="A158" t="n">
        <v>157</v>
      </c>
      <c r="B158" t="n">
        <v>8</v>
      </c>
      <c r="C158" t="inlineStr">
        <is>
          <t>Graphs: BFS, DFS &amp; shortest paths</t>
        </is>
      </c>
      <c r="D158" t="inlineStr">
        <is>
          <t>Network Delay Time</t>
        </is>
      </c>
      <c r="E158" t="inlineStr">
        <is>
          <t>LeetCode</t>
        </is>
      </c>
      <c r="F158" s="13" t="inlineStr">
        <is>
          <t>https://leetcode.com/problems/network-delay-time/</t>
        </is>
      </c>
      <c r="G158" t="inlineStr">
        <is>
          <t>Medium</t>
        </is>
      </c>
      <c r="H158" t="inlineStr">
        <is>
          <t>Dijkstra</t>
        </is>
      </c>
      <c r="I158" t="inlineStr">
        <is>
          <t>Trees, queues, hashing</t>
        </is>
      </c>
      <c r="J158" t="inlineStr">
        <is>
          <t>Essential</t>
        </is>
      </c>
    </row>
    <row r="159">
      <c r="A159" t="n">
        <v>158</v>
      </c>
      <c r="B159" t="n">
        <v>8</v>
      </c>
      <c r="C159" t="inlineStr">
        <is>
          <t>Graphs: BFS, DFS &amp; shortest paths</t>
        </is>
      </c>
      <c r="D159" t="inlineStr">
        <is>
          <t>Cheapest Flights Within K Stops</t>
        </is>
      </c>
      <c r="E159" t="inlineStr">
        <is>
          <t>LeetCode</t>
        </is>
      </c>
      <c r="F159" s="13" t="inlineStr">
        <is>
          <t>https://leetcode.com/problems/cheapest-flights-within-k-stops/</t>
        </is>
      </c>
      <c r="G159" t="inlineStr">
        <is>
          <t>Medium</t>
        </is>
      </c>
      <c r="H159" t="inlineStr">
        <is>
          <t>Bellman-Ford / BFS levels</t>
        </is>
      </c>
      <c r="I159" t="inlineStr">
        <is>
          <t>Trees, queues, hashing</t>
        </is>
      </c>
      <c r="J159" t="inlineStr">
        <is>
          <t>Optional</t>
        </is>
      </c>
    </row>
    <row r="160">
      <c r="A160" t="n">
        <v>159</v>
      </c>
      <c r="B160" t="n">
        <v>8</v>
      </c>
      <c r="C160" t="inlineStr">
        <is>
          <t>Graphs: BFS, DFS &amp; shortest paths</t>
        </is>
      </c>
      <c r="D160" t="inlineStr">
        <is>
          <t>Roads and Libraries</t>
        </is>
      </c>
      <c r="E160" t="inlineStr">
        <is>
          <t>HackerRank</t>
        </is>
      </c>
      <c r="F160" s="13" t="inlineStr">
        <is>
          <t>https://www.hackerrank.com/challenges/torque-and-development/problem</t>
        </is>
      </c>
      <c r="G160" t="inlineStr">
        <is>
          <t>Medium</t>
        </is>
      </c>
      <c r="H160" t="inlineStr">
        <is>
          <t>Graph components + cost</t>
        </is>
      </c>
      <c r="I160" t="inlineStr">
        <is>
          <t>Trees, queues, hashing</t>
        </is>
      </c>
      <c r="J160" t="inlineStr">
        <is>
          <t>Optional</t>
        </is>
      </c>
    </row>
    <row r="161">
      <c r="A161" t="n">
        <v>160</v>
      </c>
      <c r="B161" t="n">
        <v>9</v>
      </c>
      <c r="C161" t="inlineStr">
        <is>
          <t>Dynamic programming</t>
        </is>
      </c>
      <c r="D161" t="inlineStr">
        <is>
          <t>Climbing Stairs</t>
        </is>
      </c>
      <c r="E161" t="inlineStr">
        <is>
          <t>LeetCode</t>
        </is>
      </c>
      <c r="F161" s="13" t="inlineStr">
        <is>
          <t>https://leetcode.com/problems/climbing-stairs/</t>
        </is>
      </c>
      <c r="G161" t="inlineStr">
        <is>
          <t>Easy</t>
        </is>
      </c>
      <c r="H161" t="inlineStr">
        <is>
          <t>1-D DP basics</t>
        </is>
      </c>
      <c r="I161" t="inlineStr">
        <is>
          <t>Recursion, hashing, arrays</t>
        </is>
      </c>
      <c r="J161" t="inlineStr">
        <is>
          <t>Essential</t>
        </is>
      </c>
    </row>
    <row r="162">
      <c r="A162" t="n">
        <v>161</v>
      </c>
      <c r="B162" t="n">
        <v>9</v>
      </c>
      <c r="C162" t="inlineStr">
        <is>
          <t>Dynamic programming</t>
        </is>
      </c>
      <c r="D162" t="inlineStr">
        <is>
          <t>Min Cost Climbing Stairs</t>
        </is>
      </c>
      <c r="E162" t="inlineStr">
        <is>
          <t>LeetCode</t>
        </is>
      </c>
      <c r="F162" s="13" t="inlineStr">
        <is>
          <t>https://leetcode.com/problems/min-cost-climbing-stairs/</t>
        </is>
      </c>
      <c r="G162" t="inlineStr">
        <is>
          <t>Easy</t>
        </is>
      </c>
      <c r="H162" t="inlineStr">
        <is>
          <t>1-D DP with cost</t>
        </is>
      </c>
      <c r="I162" t="inlineStr">
        <is>
          <t>Recursion, hashing, arrays</t>
        </is>
      </c>
      <c r="J162" t="inlineStr">
        <is>
          <t>Recommended</t>
        </is>
      </c>
    </row>
    <row r="163">
      <c r="A163" t="n">
        <v>162</v>
      </c>
      <c r="B163" t="n">
        <v>9</v>
      </c>
      <c r="C163" t="inlineStr">
        <is>
          <t>Dynamic programming</t>
        </is>
      </c>
      <c r="D163" t="inlineStr">
        <is>
          <t>House Robber</t>
        </is>
      </c>
      <c r="E163" t="inlineStr">
        <is>
          <t>LeetCode</t>
        </is>
      </c>
      <c r="F163" s="13" t="inlineStr">
        <is>
          <t>https://leetcode.com/problems/house-robber/</t>
        </is>
      </c>
      <c r="G163" t="inlineStr">
        <is>
          <t>Medium</t>
        </is>
      </c>
      <c r="H163" t="inlineStr">
        <is>
          <t>Take/skip DP</t>
        </is>
      </c>
      <c r="I163" t="inlineStr">
        <is>
          <t>Recursion, hashing, arrays</t>
        </is>
      </c>
      <c r="J163" t="inlineStr">
        <is>
          <t>Essential</t>
        </is>
      </c>
    </row>
    <row r="164">
      <c r="A164" t="n">
        <v>163</v>
      </c>
      <c r="B164" t="n">
        <v>9</v>
      </c>
      <c r="C164" t="inlineStr">
        <is>
          <t>Dynamic programming</t>
        </is>
      </c>
      <c r="D164" t="inlineStr">
        <is>
          <t>House Robber II</t>
        </is>
      </c>
      <c r="E164" t="inlineStr">
        <is>
          <t>LeetCode</t>
        </is>
      </c>
      <c r="F164" s="13" t="inlineStr">
        <is>
          <t>https://leetcode.com/problems/house-robber-ii/</t>
        </is>
      </c>
      <c r="G164" t="inlineStr">
        <is>
          <t>Medium</t>
        </is>
      </c>
      <c r="H164" t="inlineStr">
        <is>
          <t>Circular DP</t>
        </is>
      </c>
      <c r="I164" t="inlineStr">
        <is>
          <t>Recursion, hashing, arrays</t>
        </is>
      </c>
      <c r="J164" t="inlineStr">
        <is>
          <t>Recommended</t>
        </is>
      </c>
    </row>
    <row r="165">
      <c r="A165" t="n">
        <v>164</v>
      </c>
      <c r="B165" t="n">
        <v>9</v>
      </c>
      <c r="C165" t="inlineStr">
        <is>
          <t>Dynamic programming</t>
        </is>
      </c>
      <c r="D165" t="inlineStr">
        <is>
          <t>Coin Change</t>
        </is>
      </c>
      <c r="E165" t="inlineStr">
        <is>
          <t>LeetCode</t>
        </is>
      </c>
      <c r="F165" s="13" t="inlineStr">
        <is>
          <t>https://leetcode.com/problems/coin-change/</t>
        </is>
      </c>
      <c r="G165" t="inlineStr">
        <is>
          <t>Medium</t>
        </is>
      </c>
      <c r="H165" t="inlineStr">
        <is>
          <t>Unbounded knapsack</t>
        </is>
      </c>
      <c r="I165" t="inlineStr">
        <is>
          <t>Recursion, hashing, arrays</t>
        </is>
      </c>
      <c r="J165" t="inlineStr">
        <is>
          <t>Essential</t>
        </is>
      </c>
    </row>
    <row r="166">
      <c r="A166" t="n">
        <v>165</v>
      </c>
      <c r="B166" t="n">
        <v>9</v>
      </c>
      <c r="C166" t="inlineStr">
        <is>
          <t>Dynamic programming</t>
        </is>
      </c>
      <c r="D166" t="inlineStr">
        <is>
          <t>Longest Increasing Subsequence</t>
        </is>
      </c>
      <c r="E166" t="inlineStr">
        <is>
          <t>LeetCode</t>
        </is>
      </c>
      <c r="F166" s="13" t="inlineStr">
        <is>
          <t>https://leetcode.com/problems/longest-increasing-subsequence/</t>
        </is>
      </c>
      <c r="G166" t="inlineStr">
        <is>
          <t>Medium</t>
        </is>
      </c>
      <c r="H166" t="inlineStr">
        <is>
          <t>O(n^2) DP / patience sort</t>
        </is>
      </c>
      <c r="I166" t="inlineStr">
        <is>
          <t>Recursion, hashing, arrays</t>
        </is>
      </c>
      <c r="J166" t="inlineStr">
        <is>
          <t>Essential</t>
        </is>
      </c>
    </row>
    <row r="167">
      <c r="A167" t="n">
        <v>166</v>
      </c>
      <c r="B167" t="n">
        <v>9</v>
      </c>
      <c r="C167" t="inlineStr">
        <is>
          <t>Dynamic programming</t>
        </is>
      </c>
      <c r="D167" t="inlineStr">
        <is>
          <t>Unique Paths</t>
        </is>
      </c>
      <c r="E167" t="inlineStr">
        <is>
          <t>LeetCode</t>
        </is>
      </c>
      <c r="F167" s="13" t="inlineStr">
        <is>
          <t>https://leetcode.com/problems/unique-paths/</t>
        </is>
      </c>
      <c r="G167" t="inlineStr">
        <is>
          <t>Medium</t>
        </is>
      </c>
      <c r="H167" t="inlineStr">
        <is>
          <t>Grid DP</t>
        </is>
      </c>
      <c r="I167" t="inlineStr">
        <is>
          <t>Recursion, hashing, arrays</t>
        </is>
      </c>
      <c r="J167" t="inlineStr">
        <is>
          <t>Essential</t>
        </is>
      </c>
    </row>
    <row r="168">
      <c r="A168" t="n">
        <v>167</v>
      </c>
      <c r="B168" t="n">
        <v>9</v>
      </c>
      <c r="C168" t="inlineStr">
        <is>
          <t>Dynamic programming</t>
        </is>
      </c>
      <c r="D168" t="inlineStr">
        <is>
          <t>Minimum Path Sum</t>
        </is>
      </c>
      <c r="E168" t="inlineStr">
        <is>
          <t>LeetCode</t>
        </is>
      </c>
      <c r="F168" s="13" t="inlineStr">
        <is>
          <t>https://leetcode.com/problems/minimum-path-sum/</t>
        </is>
      </c>
      <c r="G168" t="inlineStr">
        <is>
          <t>Medium</t>
        </is>
      </c>
      <c r="H168" t="inlineStr">
        <is>
          <t>Grid DP</t>
        </is>
      </c>
      <c r="I168" t="inlineStr">
        <is>
          <t>Recursion, hashing, arrays</t>
        </is>
      </c>
      <c r="J168" t="inlineStr">
        <is>
          <t>Recommended</t>
        </is>
      </c>
    </row>
    <row r="169">
      <c r="A169" t="n">
        <v>168</v>
      </c>
      <c r="B169" t="n">
        <v>9</v>
      </c>
      <c r="C169" t="inlineStr">
        <is>
          <t>Dynamic programming</t>
        </is>
      </c>
      <c r="D169" t="inlineStr">
        <is>
          <t>Decode Ways</t>
        </is>
      </c>
      <c r="E169" t="inlineStr">
        <is>
          <t>LeetCode</t>
        </is>
      </c>
      <c r="F169" s="13" t="inlineStr">
        <is>
          <t>https://leetcode.com/problems/decode-ways/</t>
        </is>
      </c>
      <c r="G169" t="inlineStr">
        <is>
          <t>Medium</t>
        </is>
      </c>
      <c r="H169" t="inlineStr">
        <is>
          <t>String DP</t>
        </is>
      </c>
      <c r="I169" t="inlineStr">
        <is>
          <t>Recursion, hashing, arrays</t>
        </is>
      </c>
      <c r="J169" t="inlineStr">
        <is>
          <t>Recommended</t>
        </is>
      </c>
    </row>
    <row r="170">
      <c r="A170" t="n">
        <v>169</v>
      </c>
      <c r="B170" t="n">
        <v>9</v>
      </c>
      <c r="C170" t="inlineStr">
        <is>
          <t>Dynamic programming</t>
        </is>
      </c>
      <c r="D170" t="inlineStr">
        <is>
          <t>Word Break</t>
        </is>
      </c>
      <c r="E170" t="inlineStr">
        <is>
          <t>LeetCode</t>
        </is>
      </c>
      <c r="F170" s="13" t="inlineStr">
        <is>
          <t>https://leetcode.com/problems/word-break/</t>
        </is>
      </c>
      <c r="G170" t="inlineStr">
        <is>
          <t>Medium</t>
        </is>
      </c>
      <c r="H170" t="inlineStr">
        <is>
          <t>Prefix DP</t>
        </is>
      </c>
      <c r="I170" t="inlineStr">
        <is>
          <t>Recursion, hashing, arrays</t>
        </is>
      </c>
      <c r="J170" t="inlineStr">
        <is>
          <t>Essential</t>
        </is>
      </c>
    </row>
    <row r="171">
      <c r="A171" t="n">
        <v>170</v>
      </c>
      <c r="B171" t="n">
        <v>9</v>
      </c>
      <c r="C171" t="inlineStr">
        <is>
          <t>Dynamic programming</t>
        </is>
      </c>
      <c r="D171" t="inlineStr">
        <is>
          <t>Maximum Product Subarray</t>
        </is>
      </c>
      <c r="E171" t="inlineStr">
        <is>
          <t>LeetCode</t>
        </is>
      </c>
      <c r="F171" s="13" t="inlineStr">
        <is>
          <t>https://leetcode.com/problems/maximum-product-subarray/</t>
        </is>
      </c>
      <c r="G171" t="inlineStr">
        <is>
          <t>Medium</t>
        </is>
      </c>
      <c r="H171" t="inlineStr">
        <is>
          <t>Track min and max</t>
        </is>
      </c>
      <c r="I171" t="inlineStr">
        <is>
          <t>Recursion, hashing, arrays</t>
        </is>
      </c>
      <c r="J171" t="inlineStr">
        <is>
          <t>Recommended</t>
        </is>
      </c>
    </row>
    <row r="172">
      <c r="A172" t="n">
        <v>171</v>
      </c>
      <c r="B172" t="n">
        <v>9</v>
      </c>
      <c r="C172" t="inlineStr">
        <is>
          <t>Dynamic programming</t>
        </is>
      </c>
      <c r="D172" t="inlineStr">
        <is>
          <t>Longest Common Subsequence</t>
        </is>
      </c>
      <c r="E172" t="inlineStr">
        <is>
          <t>LeetCode</t>
        </is>
      </c>
      <c r="F172" s="13" t="inlineStr">
        <is>
          <t>https://leetcode.com/problems/longest-common-subsequence/</t>
        </is>
      </c>
      <c r="G172" t="inlineStr">
        <is>
          <t>Medium</t>
        </is>
      </c>
      <c r="H172" t="inlineStr">
        <is>
          <t>2-D string DP</t>
        </is>
      </c>
      <c r="I172" t="inlineStr">
        <is>
          <t>Recursion, hashing, arrays</t>
        </is>
      </c>
      <c r="J172" t="inlineStr">
        <is>
          <t>Essential</t>
        </is>
      </c>
    </row>
    <row r="173">
      <c r="A173" t="n">
        <v>172</v>
      </c>
      <c r="B173" t="n">
        <v>9</v>
      </c>
      <c r="C173" t="inlineStr">
        <is>
          <t>Dynamic programming</t>
        </is>
      </c>
      <c r="D173" t="inlineStr">
        <is>
          <t>Partition Equal Subset Sum</t>
        </is>
      </c>
      <c r="E173" t="inlineStr">
        <is>
          <t>LeetCode</t>
        </is>
      </c>
      <c r="F173" s="13" t="inlineStr">
        <is>
          <t>https://leetcode.com/problems/partition-equal-subset-sum/</t>
        </is>
      </c>
      <c r="G173" t="inlineStr">
        <is>
          <t>Medium</t>
        </is>
      </c>
      <c r="H173" t="inlineStr">
        <is>
          <t>0/1 knapsack</t>
        </is>
      </c>
      <c r="I173" t="inlineStr">
        <is>
          <t>Recursion, hashing, arrays</t>
        </is>
      </c>
      <c r="J173" t="inlineStr">
        <is>
          <t>Essential</t>
        </is>
      </c>
    </row>
    <row r="174">
      <c r="A174" t="n">
        <v>173</v>
      </c>
      <c r="B174" t="n">
        <v>9</v>
      </c>
      <c r="C174" t="inlineStr">
        <is>
          <t>Dynamic programming</t>
        </is>
      </c>
      <c r="D174" t="inlineStr">
        <is>
          <t>Target Sum</t>
        </is>
      </c>
      <c r="E174" t="inlineStr">
        <is>
          <t>LeetCode</t>
        </is>
      </c>
      <c r="F174" s="13" t="inlineStr">
        <is>
          <t>https://leetcode.com/problems/target-sum/</t>
        </is>
      </c>
      <c r="G174" t="inlineStr">
        <is>
          <t>Medium</t>
        </is>
      </c>
      <c r="H174" t="inlineStr">
        <is>
          <t>Subset-sum count</t>
        </is>
      </c>
      <c r="I174" t="inlineStr">
        <is>
          <t>Recursion, hashing, arrays</t>
        </is>
      </c>
      <c r="J174" t="inlineStr">
        <is>
          <t>Optional</t>
        </is>
      </c>
    </row>
    <row r="175">
      <c r="A175" t="n">
        <v>174</v>
      </c>
      <c r="B175" t="n">
        <v>9</v>
      </c>
      <c r="C175" t="inlineStr">
        <is>
          <t>Dynamic programming</t>
        </is>
      </c>
      <c r="D175" t="inlineStr">
        <is>
          <t>Longest Palindromic Substring</t>
        </is>
      </c>
      <c r="E175" t="inlineStr">
        <is>
          <t>LeetCode</t>
        </is>
      </c>
      <c r="F175" s="13" t="inlineStr">
        <is>
          <t>https://leetcode.com/problems/longest-palindromic-substring/</t>
        </is>
      </c>
      <c r="G175" t="inlineStr">
        <is>
          <t>Medium</t>
        </is>
      </c>
      <c r="H175" t="inlineStr">
        <is>
          <t>Expand around centre</t>
        </is>
      </c>
      <c r="I175" t="inlineStr">
        <is>
          <t>Recursion, hashing, arrays</t>
        </is>
      </c>
      <c r="J175" t="inlineStr">
        <is>
          <t>Essential</t>
        </is>
      </c>
    </row>
    <row r="176">
      <c r="A176" t="n">
        <v>175</v>
      </c>
      <c r="B176" t="n">
        <v>9</v>
      </c>
      <c r="C176" t="inlineStr">
        <is>
          <t>Dynamic programming</t>
        </is>
      </c>
      <c r="D176" t="inlineStr">
        <is>
          <t>Palindromic Substrings</t>
        </is>
      </c>
      <c r="E176" t="inlineStr">
        <is>
          <t>LeetCode</t>
        </is>
      </c>
      <c r="F176" s="13" t="inlineStr">
        <is>
          <t>https://leetcode.com/problems/palindromic-substrings/</t>
        </is>
      </c>
      <c r="G176" t="inlineStr">
        <is>
          <t>Medium</t>
        </is>
      </c>
      <c r="H176" t="inlineStr">
        <is>
          <t>Expand around centre</t>
        </is>
      </c>
      <c r="I176" t="inlineStr">
        <is>
          <t>Recursion, hashing, arrays</t>
        </is>
      </c>
      <c r="J176" t="inlineStr">
        <is>
          <t>Recommended</t>
        </is>
      </c>
    </row>
    <row r="177">
      <c r="A177" t="n">
        <v>176</v>
      </c>
      <c r="B177" t="n">
        <v>9</v>
      </c>
      <c r="C177" t="inlineStr">
        <is>
          <t>Dynamic programming</t>
        </is>
      </c>
      <c r="D177" t="inlineStr">
        <is>
          <t>Edit Distance</t>
        </is>
      </c>
      <c r="E177" t="inlineStr">
        <is>
          <t>LeetCode</t>
        </is>
      </c>
      <c r="F177" s="13" t="inlineStr">
        <is>
          <t>https://leetcode.com/problems/edit-distance/</t>
        </is>
      </c>
      <c r="G177" t="inlineStr">
        <is>
          <t>Medium</t>
        </is>
      </c>
      <c r="H177" t="inlineStr">
        <is>
          <t>2-D string DP</t>
        </is>
      </c>
      <c r="I177" t="inlineStr">
        <is>
          <t>Recursion, hashing, arrays</t>
        </is>
      </c>
      <c r="J177" t="inlineStr">
        <is>
          <t>Recommended</t>
        </is>
      </c>
    </row>
    <row r="178">
      <c r="A178" t="n">
        <v>177</v>
      </c>
      <c r="B178" t="n">
        <v>10</v>
      </c>
      <c r="C178" t="inlineStr">
        <is>
          <t>Tries &amp; advanced structures</t>
        </is>
      </c>
      <c r="D178" t="inlineStr">
        <is>
          <t>Implement Trie (Prefix Tree)</t>
        </is>
      </c>
      <c r="E178" t="inlineStr">
        <is>
          <t>LeetCode</t>
        </is>
      </c>
      <c r="F178" s="13" t="inlineStr">
        <is>
          <t>https://leetcode.com/problems/implement-trie-prefix-tree/</t>
        </is>
      </c>
      <c r="G178" t="inlineStr">
        <is>
          <t>Medium</t>
        </is>
      </c>
      <c r="H178" t="inlineStr">
        <is>
          <t>Trie insert/search</t>
        </is>
      </c>
      <c r="I178" t="inlineStr">
        <is>
          <t>Trees, hashing</t>
        </is>
      </c>
      <c r="J178" t="inlineStr">
        <is>
          <t>Essential</t>
        </is>
      </c>
    </row>
    <row r="179">
      <c r="A179" t="n">
        <v>178</v>
      </c>
      <c r="B179" t="n">
        <v>10</v>
      </c>
      <c r="C179" t="inlineStr">
        <is>
          <t>Tries &amp; advanced structures</t>
        </is>
      </c>
      <c r="D179" t="inlineStr">
        <is>
          <t>Design Add and Search Words Data Structure</t>
        </is>
      </c>
      <c r="E179" t="inlineStr">
        <is>
          <t>LeetCode</t>
        </is>
      </c>
      <c r="F179" s="13" t="inlineStr">
        <is>
          <t>https://leetcode.com/problems/design-add-and-search-words-data-structure/</t>
        </is>
      </c>
      <c r="G179" t="inlineStr">
        <is>
          <t>Medium</t>
        </is>
      </c>
      <c r="H179" t="inlineStr">
        <is>
          <t>Trie + wildcard DFS</t>
        </is>
      </c>
      <c r="I179" t="inlineStr">
        <is>
          <t>Trees, hashing</t>
        </is>
      </c>
      <c r="J179" t="inlineStr">
        <is>
          <t>Recommended</t>
        </is>
      </c>
    </row>
    <row r="180">
      <c r="A180" t="n">
        <v>179</v>
      </c>
      <c r="B180" t="n">
        <v>10</v>
      </c>
      <c r="C180" t="inlineStr">
        <is>
          <t>Tries &amp; advanced structures</t>
        </is>
      </c>
      <c r="D180" t="inlineStr">
        <is>
          <t>Word Search II</t>
        </is>
      </c>
      <c r="E180" t="inlineStr">
        <is>
          <t>LeetCode</t>
        </is>
      </c>
      <c r="F180" s="13" t="inlineStr">
        <is>
          <t>https://leetcode.com/problems/word-search-ii/</t>
        </is>
      </c>
      <c r="G180" t="inlineStr">
        <is>
          <t>Hard</t>
        </is>
      </c>
      <c r="H180" t="inlineStr">
        <is>
          <t>Trie + grid backtracking</t>
        </is>
      </c>
      <c r="I180" t="inlineStr">
        <is>
          <t>Trees, hashing</t>
        </is>
      </c>
      <c r="J180" t="inlineStr">
        <is>
          <t>Optional</t>
        </is>
      </c>
    </row>
  </sheetData>
  <autoFilter ref="A1:J18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2026-10-24T23:57:17Z</dcterms:created>
  <dcterms:modified xmlns:dcterms="http://purl.org/dc/terms/" xmlns:xsi="http://www.w3.org/2001/XMLSchema-instance" xsi:type="dcterms:W3CDTF">2026-10-24T23:57:18Z</dcterms:modified>
</cp:coreProperties>
</file>